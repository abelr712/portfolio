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2509316\Documents\"/>
    </mc:Choice>
  </mc:AlternateContent>
  <xr:revisionPtr revIDLastSave="0" documentId="8_{B201948D-29C2-49F2-A497-635F55CCB4D0}" xr6:coauthVersionLast="47" xr6:coauthVersionMax="47" xr10:uidLastSave="{00000000-0000-0000-0000-000000000000}"/>
  <bookViews>
    <workbookView xWindow="-120" yWindow="-120" windowWidth="29040" windowHeight="15720" xr2:uid="{24F4FB69-1D3C-4A8D-8996-8D14949B492D}"/>
  </bookViews>
  <sheets>
    <sheet name="Tableau de bord" sheetId="1" r:id="rId1"/>
    <sheet name="Traitement" sheetId="3" r:id="rId2"/>
    <sheet name="Statut de volume de dechet" sheetId="2" r:id="rId3"/>
  </sheets>
  <definedNames>
    <definedName name="DonnéesExternes_1" localSheetId="2" hidden="1">'Statut de volume de dechet'!$A$1:$K$15</definedName>
    <definedName name="Segment_L_REGION">#N/A</definedName>
  </definedNames>
  <calcPr calcId="191029"/>
  <pivotCaches>
    <pivotCache cacheId="0" r:id="rId4"/>
  </pivotCaches>
  <fileRecoveryPr repairLoad="1"/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8" i="3" l="1"/>
  <c r="L79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5" i="3"/>
  <c r="I24" i="3"/>
  <c r="I23" i="3"/>
  <c r="I22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AJ42" i="1"/>
  <c r="AK33" i="1"/>
  <c r="U33" i="1"/>
  <c r="AQ24" i="1"/>
  <c r="AG24" i="1"/>
  <c r="B21" i="1"/>
  <c r="B10" i="1"/>
  <c r="U4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1F6007-A1AA-4848-8918-BA05C1843726}" keepAlive="1" name="Requête - Statut de volume de dechet" description="Connexion à la requête « Statut de volume de dechet » dans le classeur." type="5" refreshedVersion="8" background="1" saveData="1">
    <dbPr connection="Provider=Microsoft.Mashup.OleDb.1;Data Source=$Workbook$;Location=&quot;Statut de volume de dechet&quot;;Extended Properties=&quot;&quot;" command="SELECT * FROM [Statut de volume de dechet]"/>
  </connection>
</connections>
</file>

<file path=xl/sharedStrings.xml><?xml version="1.0" encoding="utf-8"?>
<sst xmlns="http://schemas.openxmlformats.org/spreadsheetml/2006/main" count="361" uniqueCount="65">
  <si>
    <t>L_REGION</t>
  </si>
  <si>
    <t>Tonnage de déchets en 2011</t>
  </si>
  <si>
    <t>Population en 2011</t>
  </si>
  <si>
    <t>Dechets par habitant en 2011</t>
  </si>
  <si>
    <t>Tonnage de déchets en 2021</t>
  </si>
  <si>
    <t>Population en 2021</t>
  </si>
  <si>
    <t>Dechets par habitant en 2021</t>
  </si>
  <si>
    <t>Evolution</t>
  </si>
  <si>
    <t>Statut</t>
  </si>
  <si>
    <t>Evolution de la population</t>
  </si>
  <si>
    <t>Statut d'évolution de la population</t>
  </si>
  <si>
    <t>Auvergne-Rhône-Alpes</t>
  </si>
  <si>
    <t>Stable</t>
  </si>
  <si>
    <t>Forte augmentation de la population</t>
  </si>
  <si>
    <t>Bourgogne-Franche-Comté</t>
  </si>
  <si>
    <t>Augmentation faible</t>
  </si>
  <si>
    <t>Baisse de la population</t>
  </si>
  <si>
    <t>Bretagne</t>
  </si>
  <si>
    <t>Forte augmentation</t>
  </si>
  <si>
    <t>Légére augmentation de la population</t>
  </si>
  <si>
    <t>Centre-Val de Loire</t>
  </si>
  <si>
    <t>Trés légére augmentation de la population</t>
  </si>
  <si>
    <t>Corse</t>
  </si>
  <si>
    <t>Grand Est</t>
  </si>
  <si>
    <t>Hauts-de-France</t>
  </si>
  <si>
    <t>Ile-de-France</t>
  </si>
  <si>
    <t>Normandie</t>
  </si>
  <si>
    <t>Nouvelle-Aquitaine</t>
  </si>
  <si>
    <t>Occitanie</t>
  </si>
  <si>
    <t>Pays de la Loire</t>
  </si>
  <si>
    <t>Provence-Alpes-Côte d'Azur</t>
  </si>
  <si>
    <t>DROM-COM</t>
  </si>
  <si>
    <t>Trés forte amélioration</t>
  </si>
  <si>
    <t>Tableau de bord</t>
  </si>
  <si>
    <t>Étiquettes de lignes</t>
  </si>
  <si>
    <t>Total général</t>
  </si>
  <si>
    <t>Somme de Dechets par habitant en 2021</t>
  </si>
  <si>
    <t>Somme de Dechets par habitant en 2011</t>
  </si>
  <si>
    <t>Region</t>
  </si>
  <si>
    <t>X</t>
  </si>
  <si>
    <t>Y</t>
  </si>
  <si>
    <t>evolution</t>
  </si>
  <si>
    <t>Somme de Evolution</t>
  </si>
  <si>
    <t>Max Evolution</t>
  </si>
  <si>
    <t>Somme de Evolution de la population</t>
  </si>
  <si>
    <t>Somme de Tonnage de déchets en 2021</t>
  </si>
  <si>
    <t>Somme de Population en 2011</t>
  </si>
  <si>
    <t>Somme de Tonnage de déchets en 2011</t>
  </si>
  <si>
    <t xml:space="preserve"> Tonnage de déchets en 2021</t>
  </si>
  <si>
    <t xml:space="preserve"> Tonnage de déchets en 2011</t>
  </si>
  <si>
    <t>Evolution du tonnage de déchets</t>
  </si>
  <si>
    <t>Evolution de la population dans chaque régions</t>
  </si>
  <si>
    <t>Régions ayant augmenté leur déchets par habitant</t>
  </si>
  <si>
    <t>Statu evolution dechet par habitant</t>
  </si>
  <si>
    <t>Statut evo pop</t>
  </si>
  <si>
    <t>Région</t>
  </si>
  <si>
    <t>Evolution des déchets par habitant</t>
  </si>
  <si>
    <t>Carte des evolution des déchets par habitants</t>
  </si>
  <si>
    <t>Population total en 2011</t>
  </si>
  <si>
    <t>Population total en 2021</t>
  </si>
  <si>
    <t>Somme de Population en 2021</t>
  </si>
  <si>
    <t>Comment la production de déchets par habitant a-t-elle évolué entre 2011 et 2021 par région</t>
  </si>
  <si>
    <t>Statut d'évolution des déchets</t>
  </si>
  <si>
    <t>Somme de A-P</t>
  </si>
  <si>
    <t>(Tous)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</si>
</sst>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48"/>
      <color theme="0"/>
      <name val="Book Antiqua"/>
      <family val="1"/>
    </font>
    <font>
      <sz val="36"/>
      <color theme="1"/>
      <name val="Cambria"/>
      <family val="1"/>
    </font>
    <font>
      <sz val="18"/>
      <color theme="0"/>
      <name val="Cambria"/>
      <family val="1"/>
    </font>
    <font>
      <sz val="16"/>
      <color theme="0"/>
      <name val="Cambria"/>
      <family val="1"/>
    </font>
    <font>
      <b/>
      <sz val="40"/>
      <color theme="0"/>
      <name val="Cambria"/>
      <family val="1"/>
    </font>
    <font>
      <b/>
      <sz val="40"/>
      <color theme="1"/>
      <name val="Cambria"/>
      <family val="1"/>
    </font>
    <font>
      <sz val="18"/>
      <color theme="1"/>
      <name val="Aptos Narrow"/>
      <family val="2"/>
      <scheme val="minor"/>
    </font>
    <font>
      <i/>
      <sz val="20"/>
      <color theme="0"/>
      <name val="Cambria"/>
      <family val="1"/>
    </font>
    <font>
      <sz val="16"/>
      <color theme="1"/>
      <name val="Cambria"/>
      <family val="1"/>
    </font>
    <font>
      <i/>
      <sz val="18"/>
      <color theme="0"/>
      <name val="Cambria"/>
      <family val="1"/>
    </font>
    <font>
      <i/>
      <sz val="18"/>
      <color theme="1"/>
      <name val="Cambria"/>
      <family val="1"/>
    </font>
    <font>
      <sz val="14"/>
      <color theme="0"/>
      <name val="Cambria"/>
      <family val="1"/>
    </font>
    <font>
      <i/>
      <sz val="20"/>
      <color theme="1"/>
      <name val="Cambria"/>
      <family val="1"/>
    </font>
    <font>
      <i/>
      <sz val="21"/>
      <color theme="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0" fillId="4" borderId="0" xfId="0" applyFill="1" applyAlignmen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2" borderId="4" xfId="0" applyNumberFormat="1" applyFont="1" applyFill="1" applyBorder="1"/>
    <xf numFmtId="0" fontId="0" fillId="0" borderId="5" xfId="0" applyNumberFormat="1" applyFont="1" applyBorder="1"/>
    <xf numFmtId="0" fontId="6" fillId="4" borderId="0" xfId="0" applyFont="1" applyFill="1" applyAlignment="1">
      <alignment vertical="center"/>
    </xf>
    <xf numFmtId="0" fontId="0" fillId="0" borderId="0" xfId="0" applyBorder="1" applyAlignment="1"/>
    <xf numFmtId="0" fontId="4" fillId="0" borderId="0" xfId="0" applyFont="1" applyBorder="1" applyAlignment="1">
      <alignment vertical="center"/>
    </xf>
    <xf numFmtId="0" fontId="1" fillId="3" borderId="2" xfId="0" applyNumberFormat="1" applyFont="1" applyFill="1" applyBorder="1"/>
    <xf numFmtId="0" fontId="10" fillId="4" borderId="0" xfId="0" applyFont="1" applyFill="1" applyAlignment="1">
      <alignment vertical="center"/>
    </xf>
    <xf numFmtId="0" fontId="10" fillId="4" borderId="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indent="1"/>
    </xf>
    <xf numFmtId="4" fontId="0" fillId="0" borderId="0" xfId="0" applyNumberFormat="1"/>
    <xf numFmtId="0" fontId="1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top"/>
    </xf>
    <xf numFmtId="0" fontId="10" fillId="5" borderId="1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4" fontId="4" fillId="0" borderId="15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 vertical="center"/>
    </xf>
    <xf numFmtId="4" fontId="4" fillId="0" borderId="17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4" fillId="0" borderId="18" xfId="0" applyNumberFormat="1" applyFont="1" applyBorder="1" applyAlignment="1">
      <alignment horizontal="center" vertical="center"/>
    </xf>
    <xf numFmtId="4" fontId="4" fillId="0" borderId="19" xfId="0" applyNumberFormat="1" applyFont="1" applyBorder="1" applyAlignment="1">
      <alignment horizontal="center" vertical="center"/>
    </xf>
    <xf numFmtId="4" fontId="4" fillId="0" borderId="20" xfId="0" applyNumberFormat="1" applyFont="1" applyBorder="1" applyAlignment="1">
      <alignment horizontal="center" vertical="center"/>
    </xf>
    <xf numFmtId="4" fontId="4" fillId="0" borderId="21" xfId="0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4" fontId="4" fillId="0" borderId="8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4" fontId="4" fillId="0" borderId="0" xfId="0" applyNumberFormat="1" applyFont="1" applyBorder="1" applyAlignment="1">
      <alignment horizontal="center" vertical="center"/>
    </xf>
    <xf numFmtId="4" fontId="4" fillId="0" borderId="10" xfId="0" applyNumberFormat="1" applyFont="1" applyBorder="1" applyAlignment="1">
      <alignment horizontal="center" vertical="center"/>
    </xf>
    <xf numFmtId="4" fontId="4" fillId="0" borderId="11" xfId="0" applyNumberFormat="1" applyFont="1" applyBorder="1" applyAlignment="1">
      <alignment horizontal="center" vertical="center"/>
    </xf>
    <xf numFmtId="4" fontId="4" fillId="0" borderId="12" xfId="0" applyNumberFormat="1" applyFont="1" applyBorder="1" applyAlignment="1">
      <alignment horizontal="center" vertical="center"/>
    </xf>
    <xf numFmtId="4" fontId="4" fillId="0" borderId="13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3" fontId="4" fillId="0" borderId="23" xfId="0" applyNumberFormat="1" applyFont="1" applyBorder="1" applyAlignment="1">
      <alignment horizontal="center" vertical="center"/>
    </xf>
    <xf numFmtId="3" fontId="4" fillId="0" borderId="24" xfId="0" applyNumberFormat="1" applyFont="1" applyBorder="1" applyAlignment="1">
      <alignment horizontal="center" vertical="center"/>
    </xf>
    <xf numFmtId="3" fontId="4" fillId="0" borderId="25" xfId="0" applyNumberFormat="1" applyFont="1" applyBorder="1" applyAlignment="1">
      <alignment horizontal="center" vertical="center"/>
    </xf>
    <xf numFmtId="3" fontId="4" fillId="0" borderId="26" xfId="0" applyNumberFormat="1" applyFont="1" applyBorder="1" applyAlignment="1">
      <alignment horizontal="center" vertical="center"/>
    </xf>
    <xf numFmtId="3" fontId="4" fillId="0" borderId="27" xfId="0" applyNumberFormat="1" applyFont="1" applyBorder="1" applyAlignment="1">
      <alignment horizontal="center" vertical="center"/>
    </xf>
    <xf numFmtId="3" fontId="4" fillId="0" borderId="28" xfId="0" applyNumberFormat="1" applyFont="1" applyBorder="1" applyAlignment="1">
      <alignment horizontal="center" vertical="center"/>
    </xf>
    <xf numFmtId="3" fontId="4" fillId="0" borderId="29" xfId="0" applyNumberFormat="1" applyFont="1" applyBorder="1" applyAlignment="1">
      <alignment horizontal="center" vertical="center"/>
    </xf>
    <xf numFmtId="0" fontId="12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13" fillId="5" borderId="28" xfId="0" applyFont="1" applyFill="1" applyBorder="1" applyAlignment="1">
      <alignment horizontal="center"/>
    </xf>
    <xf numFmtId="164" fontId="4" fillId="0" borderId="22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164" fontId="4" fillId="0" borderId="26" xfId="0" applyNumberFormat="1" applyFont="1" applyBorder="1" applyAlignment="1">
      <alignment horizontal="center" vertical="center"/>
    </xf>
    <xf numFmtId="164" fontId="4" fillId="0" borderId="27" xfId="0" applyNumberFormat="1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 vertical="center"/>
    </xf>
    <xf numFmtId="0" fontId="12" fillId="5" borderId="28" xfId="0" applyFont="1" applyFill="1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6" fillId="5" borderId="0" xfId="0" applyFont="1" applyFill="1" applyBorder="1" applyAlignment="1">
      <alignment horizontal="center"/>
    </xf>
    <xf numFmtId="0" fontId="16" fillId="5" borderId="0" xfId="0" applyFont="1" applyFill="1" applyAlignment="1">
      <alignment horizontal="center"/>
    </xf>
  </cellXfs>
  <cellStyles count="1">
    <cellStyle name="Normal" xfId="0" builtinId="0"/>
  </cellStyles>
  <dxfs count="11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5.xml"/><Relationship Id="rId1" Type="http://schemas.microsoft.com/office/2011/relationships/chartStyle" Target="style5.xml"/><Relationship Id="rId5" Type="http://schemas.openxmlformats.org/officeDocument/2006/relationships/hyperlink" Target="https://svgsilh.com/image/2431486.html" TargetMode="External"/><Relationship Id="rId4" Type="http://schemas.openxmlformats.org/officeDocument/2006/relationships/image" Target="../media/image2.svg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6.xml"/><Relationship Id="rId1" Type="http://schemas.microsoft.com/office/2011/relationships/chartStyle" Target="style6.xml"/><Relationship Id="rId5" Type="http://schemas.openxmlformats.org/officeDocument/2006/relationships/hyperlink" Target="https://svgsilh.com/image/2431486.html" TargetMode="External"/><Relationship Id="rId4" Type="http://schemas.openxmlformats.org/officeDocument/2006/relationships/image" Target="../media/image2.svg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[Tableau de bord SAE.xlsx]Traitement!Tableau croisé dynamique2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Traitement!$B$3</c:f>
              <c:strCache>
                <c:ptCount val="1"/>
                <c:pt idx="0">
                  <c:v>Somme de Dechets par habitant en 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Traitement!$A$4:$A$18</c:f>
              <c:strCache>
                <c:ptCount val="14"/>
                <c:pt idx="0">
                  <c:v>Auvergne-Rhône-Alpes</c:v>
                </c:pt>
                <c:pt idx="1">
                  <c:v>Bourgogne-Franche-Comté</c:v>
                </c:pt>
                <c:pt idx="2">
                  <c:v>Bretagne</c:v>
                </c:pt>
                <c:pt idx="3">
                  <c:v>Centre-Val de Loire</c:v>
                </c:pt>
                <c:pt idx="4">
                  <c:v>Corse</c:v>
                </c:pt>
                <c:pt idx="5">
                  <c:v>DROM-COM</c:v>
                </c:pt>
                <c:pt idx="6">
                  <c:v>Grand Est</c:v>
                </c:pt>
                <c:pt idx="7">
                  <c:v>Hauts-de-France</c:v>
                </c:pt>
                <c:pt idx="8">
                  <c:v>Ile-de-France</c:v>
                </c:pt>
                <c:pt idx="9">
                  <c:v>Normandie</c:v>
                </c:pt>
                <c:pt idx="10">
                  <c:v>Nouvelle-Aquitaine</c:v>
                </c:pt>
                <c:pt idx="11">
                  <c:v>Occitanie</c:v>
                </c:pt>
                <c:pt idx="12">
                  <c:v>Pays de la Loire</c:v>
                </c:pt>
                <c:pt idx="13">
                  <c:v>Provence-Alpes-Côte d'Azur</c:v>
                </c:pt>
              </c:strCache>
            </c:strRef>
          </c:cat>
          <c:val>
            <c:numRef>
              <c:f>Traitement!$B$4:$B$18</c:f>
              <c:numCache>
                <c:formatCode>General</c:formatCode>
                <c:ptCount val="14"/>
                <c:pt idx="0">
                  <c:v>0.56399043498311208</c:v>
                </c:pt>
                <c:pt idx="1">
                  <c:v>0.59650493501521673</c:v>
                </c:pt>
                <c:pt idx="2">
                  <c:v>0.72447102089898352</c:v>
                </c:pt>
                <c:pt idx="3">
                  <c:v>0.62322000945866074</c:v>
                </c:pt>
                <c:pt idx="4">
                  <c:v>0.74509607390167354</c:v>
                </c:pt>
                <c:pt idx="5">
                  <c:v>0.43448919602277136</c:v>
                </c:pt>
                <c:pt idx="6">
                  <c:v>0.55763394876042194</c:v>
                </c:pt>
                <c:pt idx="7">
                  <c:v>0.71251883477902322</c:v>
                </c:pt>
                <c:pt idx="8">
                  <c:v>0.47586840080508042</c:v>
                </c:pt>
                <c:pt idx="9">
                  <c:v>0.72031973884348577</c:v>
                </c:pt>
                <c:pt idx="10">
                  <c:v>0.66805365712847098</c:v>
                </c:pt>
                <c:pt idx="11">
                  <c:v>0.64156982127390472</c:v>
                </c:pt>
                <c:pt idx="12">
                  <c:v>0.62149660132241868</c:v>
                </c:pt>
                <c:pt idx="13">
                  <c:v>0.73022391494274386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C-4E6B-8A10-06904F6E1F05}"/>
            </c:ext>
          </c:extLst>
        </c:ser>
        <c:ser>
          <c:idx val="1"/>
          <c:order val="1"/>
          <c:tx>
            <c:strRef>
              <c:f>Traitement!$C$3</c:f>
              <c:strCache>
                <c:ptCount val="1"/>
                <c:pt idx="0">
                  <c:v>Somme de Dechets par habitant en 2011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Traitement!$A$4:$A$18</c:f>
              <c:strCache>
                <c:ptCount val="14"/>
                <c:pt idx="0">
                  <c:v>Auvergne-Rhône-Alpes</c:v>
                </c:pt>
                <c:pt idx="1">
                  <c:v>Bourgogne-Franche-Comté</c:v>
                </c:pt>
                <c:pt idx="2">
                  <c:v>Bretagne</c:v>
                </c:pt>
                <c:pt idx="3">
                  <c:v>Centre-Val de Loire</c:v>
                </c:pt>
                <c:pt idx="4">
                  <c:v>Corse</c:v>
                </c:pt>
                <c:pt idx="5">
                  <c:v>DROM-COM</c:v>
                </c:pt>
                <c:pt idx="6">
                  <c:v>Grand Est</c:v>
                </c:pt>
                <c:pt idx="7">
                  <c:v>Hauts-de-France</c:v>
                </c:pt>
                <c:pt idx="8">
                  <c:v>Ile-de-France</c:v>
                </c:pt>
                <c:pt idx="9">
                  <c:v>Normandie</c:v>
                </c:pt>
                <c:pt idx="10">
                  <c:v>Nouvelle-Aquitaine</c:v>
                </c:pt>
                <c:pt idx="11">
                  <c:v>Occitanie</c:v>
                </c:pt>
                <c:pt idx="12">
                  <c:v>Pays de la Loire</c:v>
                </c:pt>
                <c:pt idx="13">
                  <c:v>Provence-Alpes-Côte d'Azur</c:v>
                </c:pt>
              </c:strCache>
            </c:strRef>
          </c:cat>
          <c:val>
            <c:numRef>
              <c:f>Traitement!$C$4:$C$18</c:f>
              <c:numCache>
                <c:formatCode>General</c:formatCode>
                <c:ptCount val="14"/>
                <c:pt idx="0">
                  <c:v>0.55791282884977311</c:v>
                </c:pt>
                <c:pt idx="1">
                  <c:v>0.5667059031153614</c:v>
                </c:pt>
                <c:pt idx="2">
                  <c:v>0.66198332881156419</c:v>
                </c:pt>
                <c:pt idx="3">
                  <c:v>0.57435297545598363</c:v>
                </c:pt>
                <c:pt idx="4">
                  <c:v>0.68619108640766202</c:v>
                </c:pt>
                <c:pt idx="5">
                  <c:v>0.64522807688013673</c:v>
                </c:pt>
                <c:pt idx="6">
                  <c:v>0.55597710431510172</c:v>
                </c:pt>
                <c:pt idx="7">
                  <c:v>0.63707945410953049</c:v>
                </c:pt>
                <c:pt idx="8">
                  <c:v>0.48255447739957275</c:v>
                </c:pt>
                <c:pt idx="9">
                  <c:v>0.66637647632317443</c:v>
                </c:pt>
                <c:pt idx="10">
                  <c:v>0.63572125129783463</c:v>
                </c:pt>
                <c:pt idx="11">
                  <c:v>0.61523798117724227</c:v>
                </c:pt>
                <c:pt idx="12">
                  <c:v>0.5789143550896626</c:v>
                </c:pt>
                <c:pt idx="13">
                  <c:v>0.72917784107586792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C-4E6B-8A10-06904F6E1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62441151"/>
        <c:axId val="1262428671"/>
      </c:barChart>
      <c:catAx>
        <c:axId val="1262441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428671"/>
        <c:crosses val="autoZero"/>
        <c:auto val="1"/>
        <c:lblAlgn val="ctr"/>
        <c:lblOffset val="100"/>
        <c:noMultiLvlLbl val="0"/>
      </c:catAx>
      <c:valAx>
        <c:axId val="126242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244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334013509460663E-2"/>
          <c:y val="3.5065694782568421E-2"/>
          <c:w val="0.89315631892427538"/>
          <c:h val="0.142026554716374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[Tableau de bord SAE.xlsx]Traitement!Tableau croisé dynamique5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752475615952674"/>
          <c:y val="0.18382236425100359"/>
          <c:w val="0.69466022000298588"/>
          <c:h val="0.790499062889309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Traitement!$E$25</c:f>
              <c:strCache>
                <c:ptCount val="1"/>
                <c:pt idx="0">
                  <c:v>Somme de Tonnage de déchets en 2021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0FC1-4715-A6CD-5E2D5099275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FC1-4715-A6CD-5E2D5099275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FC1-4715-A6CD-5E2D5099275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FC1-4715-A6CD-5E2D5099275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E6A1-450D-B34F-9011DA0FEF3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FC1-4715-A6CD-5E2D5099275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FC1-4715-A6CD-5E2D5099275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E6A1-450D-B34F-9011DA0FEF3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FC1-4715-A6CD-5E2D5099275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E6A1-450D-B34F-9011DA0FEF32}"/>
              </c:ext>
            </c:extLst>
          </c:dPt>
          <c:cat>
            <c:strRef>
              <c:f>Traitement!$D$26:$D$40</c:f>
              <c:strCache>
                <c:ptCount val="14"/>
                <c:pt idx="0">
                  <c:v>Auvergne-Rhône-Alpes</c:v>
                </c:pt>
                <c:pt idx="1">
                  <c:v>Bourgogne-Franche-Comté</c:v>
                </c:pt>
                <c:pt idx="2">
                  <c:v>Bretagne</c:v>
                </c:pt>
                <c:pt idx="3">
                  <c:v>Centre-Val de Loire</c:v>
                </c:pt>
                <c:pt idx="4">
                  <c:v>Corse</c:v>
                </c:pt>
                <c:pt idx="5">
                  <c:v>DROM-COM</c:v>
                </c:pt>
                <c:pt idx="6">
                  <c:v>Grand Est</c:v>
                </c:pt>
                <c:pt idx="7">
                  <c:v>Hauts-de-France</c:v>
                </c:pt>
                <c:pt idx="8">
                  <c:v>Ile-de-France</c:v>
                </c:pt>
                <c:pt idx="9">
                  <c:v>Normandie</c:v>
                </c:pt>
                <c:pt idx="10">
                  <c:v>Nouvelle-Aquitaine</c:v>
                </c:pt>
                <c:pt idx="11">
                  <c:v>Occitanie</c:v>
                </c:pt>
                <c:pt idx="12">
                  <c:v>Pays de la Loire</c:v>
                </c:pt>
                <c:pt idx="13">
                  <c:v>Provence-Alpes-Côte d'Azur</c:v>
                </c:pt>
              </c:strCache>
            </c:strRef>
          </c:cat>
          <c:val>
            <c:numRef>
              <c:f>Traitement!$E$26:$E$40</c:f>
              <c:numCache>
                <c:formatCode>General</c:formatCode>
                <c:ptCount val="14"/>
                <c:pt idx="0">
                  <c:v>4576421.99</c:v>
                </c:pt>
                <c:pt idx="1">
                  <c:v>1670329.5399999998</c:v>
                </c:pt>
                <c:pt idx="2">
                  <c:v>2459265.42</c:v>
                </c:pt>
                <c:pt idx="3">
                  <c:v>1603733.92</c:v>
                </c:pt>
                <c:pt idx="4">
                  <c:v>258993.16</c:v>
                </c:pt>
                <c:pt idx="5">
                  <c:v>952347.31</c:v>
                </c:pt>
                <c:pt idx="6">
                  <c:v>3101162.4300000006</c:v>
                </c:pt>
                <c:pt idx="7">
                  <c:v>4271758.47</c:v>
                </c:pt>
                <c:pt idx="8">
                  <c:v>5861403.8600000003</c:v>
                </c:pt>
                <c:pt idx="9">
                  <c:v>2397199.6</c:v>
                </c:pt>
                <c:pt idx="10">
                  <c:v>4054652.7999999993</c:v>
                </c:pt>
                <c:pt idx="11">
                  <c:v>3863646.3799999985</c:v>
                </c:pt>
                <c:pt idx="12">
                  <c:v>2395247.2800000003</c:v>
                </c:pt>
                <c:pt idx="13">
                  <c:v>3744471.4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0-41C5-871C-C47AB6CA66D6}"/>
            </c:ext>
          </c:extLst>
        </c:ser>
        <c:ser>
          <c:idx val="1"/>
          <c:order val="1"/>
          <c:tx>
            <c:strRef>
              <c:f>Traitement!$F$25</c:f>
              <c:strCache>
                <c:ptCount val="1"/>
                <c:pt idx="0">
                  <c:v>Somme de Tonnage de déchets en 2011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FC1-4715-A6CD-5E2D509927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FC1-4715-A6CD-5E2D509927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0FC1-4715-A6CD-5E2D509927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FC1-4715-A6CD-5E2D5099275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FC1-4715-A6CD-5E2D5099275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FC1-4715-A6CD-5E2D5099275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C1-4715-A6CD-5E2D5099275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FC1-4715-A6CD-5E2D5099275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FC1-4715-A6CD-5E2D5099275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FC1-4715-A6CD-5E2D5099275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FC1-4715-A6CD-5E2D5099275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FC1-4715-A6CD-5E2D5099275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FC1-4715-A6CD-5E2D5099275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FC1-4715-A6CD-5E2D50992754}"/>
              </c:ext>
            </c:extLst>
          </c:dPt>
          <c:cat>
            <c:strRef>
              <c:f>Traitement!$D$26:$D$40</c:f>
              <c:strCache>
                <c:ptCount val="14"/>
                <c:pt idx="0">
                  <c:v>Auvergne-Rhône-Alpes</c:v>
                </c:pt>
                <c:pt idx="1">
                  <c:v>Bourgogne-Franche-Comté</c:v>
                </c:pt>
                <c:pt idx="2">
                  <c:v>Bretagne</c:v>
                </c:pt>
                <c:pt idx="3">
                  <c:v>Centre-Val de Loire</c:v>
                </c:pt>
                <c:pt idx="4">
                  <c:v>Corse</c:v>
                </c:pt>
                <c:pt idx="5">
                  <c:v>DROM-COM</c:v>
                </c:pt>
                <c:pt idx="6">
                  <c:v>Grand Est</c:v>
                </c:pt>
                <c:pt idx="7">
                  <c:v>Hauts-de-France</c:v>
                </c:pt>
                <c:pt idx="8">
                  <c:v>Ile-de-France</c:v>
                </c:pt>
                <c:pt idx="9">
                  <c:v>Normandie</c:v>
                </c:pt>
                <c:pt idx="10">
                  <c:v>Nouvelle-Aquitaine</c:v>
                </c:pt>
                <c:pt idx="11">
                  <c:v>Occitanie</c:v>
                </c:pt>
                <c:pt idx="12">
                  <c:v>Pays de la Loire</c:v>
                </c:pt>
                <c:pt idx="13">
                  <c:v>Provence-Alpes-Côte d'Azur</c:v>
                </c:pt>
              </c:strCache>
            </c:strRef>
          </c:cat>
          <c:val>
            <c:numRef>
              <c:f>Traitement!$F$26:$F$40</c:f>
              <c:numCache>
                <c:formatCode>General</c:formatCode>
                <c:ptCount val="14"/>
                <c:pt idx="0">
                  <c:v>4259230.9500000011</c:v>
                </c:pt>
                <c:pt idx="1">
                  <c:v>1595942.4299999997</c:v>
                </c:pt>
                <c:pt idx="2">
                  <c:v>2130108.1100000003</c:v>
                </c:pt>
                <c:pt idx="3">
                  <c:v>1468525.79</c:v>
                </c:pt>
                <c:pt idx="4">
                  <c:v>215797.49</c:v>
                </c:pt>
                <c:pt idx="5">
                  <c:v>1202096.04</c:v>
                </c:pt>
                <c:pt idx="6">
                  <c:v>3079576.6399999997</c:v>
                </c:pt>
                <c:pt idx="7">
                  <c:v>3797101.85</c:v>
                </c:pt>
                <c:pt idx="8">
                  <c:v>5719646.3200000031</c:v>
                </c:pt>
                <c:pt idx="9">
                  <c:v>2209089.33</c:v>
                </c:pt>
                <c:pt idx="10">
                  <c:v>3670068.3700000006</c:v>
                </c:pt>
                <c:pt idx="11">
                  <c:v>3429007.9699999997</c:v>
                </c:pt>
                <c:pt idx="12">
                  <c:v>2084736.01</c:v>
                </c:pt>
                <c:pt idx="13">
                  <c:v>3584688.580000001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40-41C5-871C-C47AB6CA6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7387919"/>
        <c:axId val="987391759"/>
      </c:barChart>
      <c:catAx>
        <c:axId val="9873879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7391759"/>
        <c:crosses val="autoZero"/>
        <c:auto val="1"/>
        <c:lblAlgn val="ctr"/>
        <c:lblOffset val="100"/>
        <c:noMultiLvlLbl val="0"/>
      </c:catAx>
      <c:valAx>
        <c:axId val="9873917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738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4744597128896442E-2"/>
          <c:y val="2.3107449398435401E-2"/>
          <c:w val="0.84501128006819382"/>
          <c:h val="0.18741057928790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1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[Tableau de bord SAE.xlsx]Traitement!Tableau croisé dynamique4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baseline="0"/>
              <a:t>Répartition de l'évolution de la population </a:t>
            </a:r>
          </a:p>
        </c:rich>
      </c:tx>
      <c:layout>
        <c:manualLayout>
          <c:xMode val="edge"/>
          <c:yMode val="edge"/>
          <c:x val="0.45993424608244582"/>
          <c:y val="3.8311788864410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tint val="4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tint val="49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1">
              <a:tint val="58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>
              <a:tint val="68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>
              <a:tint val="86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accent1">
              <a:tint val="96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accent1">
              <a:shade val="95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1">
              <a:shade val="86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1">
              <a:shade val="67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1">
              <a:shade val="58000"/>
            </a:schemeClr>
          </a:solidFill>
          <a:ln>
            <a:noFill/>
          </a:ln>
          <a:effectLst/>
        </c:spPr>
      </c:pivotFmt>
      <c:pivotFmt>
        <c:idx val="44"/>
        <c:spPr>
          <a:solidFill>
            <a:schemeClr val="accent1">
              <a:shade val="48000"/>
            </a:schemeClr>
          </a:solidFill>
          <a:ln>
            <a:noFill/>
          </a:ln>
          <a:effectLst/>
        </c:spPr>
      </c:pivotFmt>
      <c:pivotFmt>
        <c:idx val="45"/>
        <c:spPr>
          <a:solidFill>
            <a:schemeClr val="accent1">
              <a:shade val="39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9530324981296229E-2"/>
          <c:y val="0.10134516947568374"/>
          <c:w val="0.51174461795664816"/>
          <c:h val="0.8633968799027214"/>
        </c:manualLayout>
      </c:layout>
      <c:pieChart>
        <c:varyColors val="1"/>
        <c:ser>
          <c:idx val="0"/>
          <c:order val="0"/>
          <c:tx>
            <c:strRef>
              <c:f>Traitement!$B$22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8392-496F-B6D3-C7F1FFC37E9D}"/>
              </c:ext>
            </c:extLst>
          </c:dPt>
          <c:dPt>
            <c:idx val="1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8392-496F-B6D3-C7F1FFC37E9D}"/>
              </c:ext>
            </c:extLst>
          </c:dPt>
          <c:dPt>
            <c:idx val="2"/>
            <c:bubble3D val="0"/>
            <c:spPr>
              <a:solidFill>
                <a:schemeClr val="accent1">
                  <a:tint val="6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8392-496F-B6D3-C7F1FFC37E9D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8392-496F-B6D3-C7F1FFC37E9D}"/>
              </c:ext>
            </c:extLst>
          </c:dPt>
          <c:dPt>
            <c:idx val="4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8392-496F-B6D3-C7F1FFC37E9D}"/>
              </c:ext>
            </c:extLst>
          </c:dPt>
          <c:dPt>
            <c:idx val="5"/>
            <c:bubble3D val="0"/>
            <c:spPr>
              <a:solidFill>
                <a:schemeClr val="accent1">
                  <a:tint val="9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8392-496F-B6D3-C7F1FFC37E9D}"/>
              </c:ext>
            </c:extLst>
          </c:dPt>
          <c:dPt>
            <c:idx val="6"/>
            <c:bubble3D val="0"/>
            <c:spPr>
              <a:solidFill>
                <a:schemeClr val="accent1">
                  <a:shade val="9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8392-496F-B6D3-C7F1FFC37E9D}"/>
              </c:ext>
            </c:extLst>
          </c:dPt>
          <c:dPt>
            <c:idx val="7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8392-496F-B6D3-C7F1FFC37E9D}"/>
              </c:ext>
            </c:extLst>
          </c:dPt>
          <c:dPt>
            <c:idx val="8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8392-496F-B6D3-C7F1FFC37E9D}"/>
              </c:ext>
            </c:extLst>
          </c:dPt>
          <c:dPt>
            <c:idx val="9"/>
            <c:bubble3D val="0"/>
            <c:spPr>
              <a:solidFill>
                <a:schemeClr val="accent1">
                  <a:shade val="6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8392-496F-B6D3-C7F1FFC37E9D}"/>
              </c:ext>
            </c:extLst>
          </c:dPt>
          <c:dPt>
            <c:idx val="1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8392-496F-B6D3-C7F1FFC37E9D}"/>
              </c:ext>
            </c:extLst>
          </c:dPt>
          <c:dPt>
            <c:idx val="11"/>
            <c:bubble3D val="0"/>
            <c:spPr>
              <a:solidFill>
                <a:schemeClr val="accent1">
                  <a:shade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8392-496F-B6D3-C7F1FFC37E9D}"/>
              </c:ext>
            </c:extLst>
          </c:dPt>
          <c:dPt>
            <c:idx val="12"/>
            <c:bubble3D val="0"/>
            <c:spPr>
              <a:solidFill>
                <a:schemeClr val="accent1">
                  <a:shade val="3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8392-496F-B6D3-C7F1FFC37E9D}"/>
              </c:ext>
            </c:extLst>
          </c:dPt>
          <c:dPt>
            <c:idx val="13"/>
            <c:bubble3D val="0"/>
            <c:spPr>
              <a:solidFill>
                <a:schemeClr val="accent1">
                  <a:shade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8392-496F-B6D3-C7F1FFC37E9D}"/>
              </c:ext>
            </c:extLst>
          </c:dPt>
          <c:cat>
            <c:strRef>
              <c:f>Traitement!$A$23:$A$36</c:f>
              <c:strCache>
                <c:ptCount val="13"/>
                <c:pt idx="0">
                  <c:v>Auvergne-Rhône-Alpes</c:v>
                </c:pt>
                <c:pt idx="1">
                  <c:v>Bretagne</c:v>
                </c:pt>
                <c:pt idx="2">
                  <c:v>Centre-Val de Loire</c:v>
                </c:pt>
                <c:pt idx="3">
                  <c:v>Corse</c:v>
                </c:pt>
                <c:pt idx="4">
                  <c:v>DROM-COM</c:v>
                </c:pt>
                <c:pt idx="5">
                  <c:v>Grand Est</c:v>
                </c:pt>
                <c:pt idx="6">
                  <c:v>Hauts-de-France</c:v>
                </c:pt>
                <c:pt idx="7">
                  <c:v>Ile-de-France</c:v>
                </c:pt>
                <c:pt idx="8">
                  <c:v>Normandie</c:v>
                </c:pt>
                <c:pt idx="9">
                  <c:v>Nouvelle-Aquitaine</c:v>
                </c:pt>
                <c:pt idx="10">
                  <c:v>Occitanie</c:v>
                </c:pt>
                <c:pt idx="11">
                  <c:v>Pays de la Loire</c:v>
                </c:pt>
                <c:pt idx="12">
                  <c:v>Provence-Alpes-Côte d'Azur</c:v>
                </c:pt>
              </c:strCache>
            </c:strRef>
          </c:cat>
          <c:val>
            <c:numRef>
              <c:f>Traitement!$B$23:$B$36</c:f>
              <c:numCache>
                <c:formatCode>General</c:formatCode>
                <c:ptCount val="13"/>
                <c:pt idx="0">
                  <c:v>480138</c:v>
                </c:pt>
                <c:pt idx="1">
                  <c:v>176800</c:v>
                </c:pt>
                <c:pt idx="2">
                  <c:v>16468</c:v>
                </c:pt>
                <c:pt idx="3">
                  <c:v>33111</c:v>
                </c:pt>
                <c:pt idx="4">
                  <c:v>328822</c:v>
                </c:pt>
                <c:pt idx="5">
                  <c:v>22252</c:v>
                </c:pt>
                <c:pt idx="6">
                  <c:v>35122</c:v>
                </c:pt>
                <c:pt idx="7">
                  <c:v>464428</c:v>
                </c:pt>
                <c:pt idx="8">
                  <c:v>12889</c:v>
                </c:pt>
                <c:pt idx="9">
                  <c:v>296274</c:v>
                </c:pt>
                <c:pt idx="10">
                  <c:v>448710</c:v>
                </c:pt>
                <c:pt idx="11">
                  <c:v>252886</c:v>
                </c:pt>
                <c:pt idx="12">
                  <c:v>211771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8392-496F-B6D3-C7F1FFC37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238440774303386"/>
          <c:y val="0.20905126808319516"/>
          <c:w val="0.45368374786360105"/>
          <c:h val="0.79094873191680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SAE.xlsx]Traitement!Tableau croisé dynamique6</c:name>
    <c:fmtId val="2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0993383816936656"/>
          <c:y val="4.1150202218449023E-3"/>
          <c:w val="0.78278334368366864"/>
          <c:h val="0.881340095395903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Traitement!$B$45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Traitement!$A$46:$A$60</c:f>
              <c:strCache>
                <c:ptCount val="14"/>
                <c:pt idx="0">
                  <c:v>DROM-COM</c:v>
                </c:pt>
                <c:pt idx="1">
                  <c:v>Ile-de-France</c:v>
                </c:pt>
                <c:pt idx="2">
                  <c:v>Provence-Alpes-Côte d'Azur</c:v>
                </c:pt>
                <c:pt idx="3">
                  <c:v>Grand Est</c:v>
                </c:pt>
                <c:pt idx="4">
                  <c:v>Auvergne-Rhône-Alpes</c:v>
                </c:pt>
                <c:pt idx="5">
                  <c:v>Occitanie</c:v>
                </c:pt>
                <c:pt idx="6">
                  <c:v>Bourgogne-Franche-Comté</c:v>
                </c:pt>
                <c:pt idx="7">
                  <c:v>Nouvelle-Aquitaine</c:v>
                </c:pt>
                <c:pt idx="8">
                  <c:v>Pays de la Loire</c:v>
                </c:pt>
                <c:pt idx="9">
                  <c:v>Centre-Val de Loire</c:v>
                </c:pt>
                <c:pt idx="10">
                  <c:v>Normandie</c:v>
                </c:pt>
                <c:pt idx="11">
                  <c:v>Corse</c:v>
                </c:pt>
                <c:pt idx="12">
                  <c:v>Bretagne</c:v>
                </c:pt>
                <c:pt idx="13">
                  <c:v>Hauts-de-France</c:v>
                </c:pt>
              </c:strCache>
            </c:strRef>
          </c:cat>
          <c:val>
            <c:numRef>
              <c:f>Traitement!$B$46:$B$60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1.0460738668759406E-3</c:v>
                </c:pt>
                <c:pt idx="3">
                  <c:v>1.6568444453202158E-3</c:v>
                </c:pt>
                <c:pt idx="4">
                  <c:v>6.0776061333389642E-3</c:v>
                </c:pt>
                <c:pt idx="5">
                  <c:v>2.6331840096662451E-2</c:v>
                </c:pt>
                <c:pt idx="6">
                  <c:v>2.9799031899855333E-2</c:v>
                </c:pt>
                <c:pt idx="7">
                  <c:v>3.2332405830636346E-2</c:v>
                </c:pt>
                <c:pt idx="8">
                  <c:v>4.2582246232756082E-2</c:v>
                </c:pt>
                <c:pt idx="9">
                  <c:v>4.8867034002677112E-2</c:v>
                </c:pt>
                <c:pt idx="10">
                  <c:v>5.3943262520311341E-2</c:v>
                </c:pt>
                <c:pt idx="11">
                  <c:v>5.8904987494011518E-2</c:v>
                </c:pt>
                <c:pt idx="12">
                  <c:v>6.2487692087419333E-2</c:v>
                </c:pt>
                <c:pt idx="13">
                  <c:v>7.5439380669492739E-2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17-4613-8173-F0355A8A5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89251711"/>
        <c:axId val="289260831"/>
      </c:barChart>
      <c:catAx>
        <c:axId val="28925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9260831"/>
        <c:crosses val="autoZero"/>
        <c:auto val="1"/>
        <c:lblAlgn val="ctr"/>
        <c:lblOffset val="100"/>
        <c:noMultiLvlLbl val="0"/>
      </c:catAx>
      <c:valAx>
        <c:axId val="289260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925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208277977598458E-2"/>
          <c:y val="6.8027210884353748E-2"/>
          <c:w val="0.86457773025285423"/>
          <c:h val="0.8549393379399004"/>
        </c:manualLayout>
      </c:layout>
      <c:bubbleChart>
        <c:varyColors val="0"/>
        <c:ser>
          <c:idx val="0"/>
          <c:order val="0"/>
          <c:tx>
            <c:v>Evolution</c:v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xVal>
            <c:numRef>
              <c:f>Traitement!$F$5:$F$18</c:f>
              <c:numCache>
                <c:formatCode>General</c:formatCode>
                <c:ptCount val="14"/>
                <c:pt idx="0">
                  <c:v>8.6</c:v>
                </c:pt>
                <c:pt idx="1">
                  <c:v>9</c:v>
                </c:pt>
                <c:pt idx="2">
                  <c:v>0.5</c:v>
                </c:pt>
                <c:pt idx="3">
                  <c:v>5.4</c:v>
                </c:pt>
                <c:pt idx="4">
                  <c:v>13</c:v>
                </c:pt>
                <c:pt idx="5">
                  <c:v>13</c:v>
                </c:pt>
                <c:pt idx="6">
                  <c:v>9.5</c:v>
                </c:pt>
                <c:pt idx="7">
                  <c:v>6</c:v>
                </c:pt>
                <c:pt idx="8">
                  <c:v>6</c:v>
                </c:pt>
                <c:pt idx="9">
                  <c:v>3.7</c:v>
                </c:pt>
                <c:pt idx="10">
                  <c:v>4</c:v>
                </c:pt>
                <c:pt idx="11">
                  <c:v>5.5</c:v>
                </c:pt>
                <c:pt idx="12">
                  <c:v>2.6</c:v>
                </c:pt>
                <c:pt idx="13">
                  <c:v>9.6</c:v>
                </c:pt>
              </c:numCache>
            </c:numRef>
          </c:xVal>
          <c:yVal>
            <c:numRef>
              <c:f>Traitement!$G$5:$G$18</c:f>
              <c:numCache>
                <c:formatCode>General</c:formatCode>
                <c:ptCount val="14"/>
                <c:pt idx="0">
                  <c:v>4.4000000000000004</c:v>
                </c:pt>
                <c:pt idx="1">
                  <c:v>7</c:v>
                </c:pt>
                <c:pt idx="2">
                  <c:v>7.8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8.6999999999999993</c:v>
                </c:pt>
                <c:pt idx="7">
                  <c:v>10.7</c:v>
                </c:pt>
                <c:pt idx="8">
                  <c:v>9</c:v>
                </c:pt>
                <c:pt idx="9">
                  <c:v>9</c:v>
                </c:pt>
                <c:pt idx="10">
                  <c:v>4</c:v>
                </c:pt>
                <c:pt idx="11">
                  <c:v>2</c:v>
                </c:pt>
                <c:pt idx="12">
                  <c:v>6.8</c:v>
                </c:pt>
                <c:pt idx="13">
                  <c:v>2</c:v>
                </c:pt>
              </c:numCache>
            </c:numRef>
          </c:yVal>
          <c:bubbleSize>
            <c:numRef>
              <c:f>Traitement!$H$5:$H$18</c:f>
              <c:numCache>
                <c:formatCode>General</c:formatCode>
                <c:ptCount val="14"/>
                <c:pt idx="0">
                  <c:v>6.0776061333389642E-3</c:v>
                </c:pt>
                <c:pt idx="1">
                  <c:v>2.9799031899855333E-2</c:v>
                </c:pt>
                <c:pt idx="2">
                  <c:v>6.2487692087419333E-2</c:v>
                </c:pt>
                <c:pt idx="3">
                  <c:v>4.8867034002677112E-2</c:v>
                </c:pt>
                <c:pt idx="4">
                  <c:v>5.8904987494011518E-2</c:v>
                </c:pt>
                <c:pt idx="5">
                  <c:v>-0.21073888085736536</c:v>
                </c:pt>
                <c:pt idx="6">
                  <c:v>1.6568444453202158E-3</c:v>
                </c:pt>
                <c:pt idx="7">
                  <c:v>7.5439380669492739E-2</c:v>
                </c:pt>
                <c:pt idx="8">
                  <c:v>-6.6860765944923295E-3</c:v>
                </c:pt>
                <c:pt idx="9">
                  <c:v>5.3943262520311341E-2</c:v>
                </c:pt>
                <c:pt idx="10">
                  <c:v>3.2332405830636346E-2</c:v>
                </c:pt>
                <c:pt idx="11">
                  <c:v>2.6331840096662451E-2</c:v>
                </c:pt>
                <c:pt idx="12">
                  <c:v>4.2582246232756082E-2</c:v>
                </c:pt>
                <c:pt idx="13">
                  <c:v>1.0460738668759406E-3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281D-4D8A-BE20-2F980A1A42A1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xVal>
            <c:numRef>
              <c:f>Traitement!$F$5:$F$18</c:f>
              <c:numCache>
                <c:formatCode>General</c:formatCode>
                <c:ptCount val="14"/>
                <c:pt idx="0">
                  <c:v>8.6</c:v>
                </c:pt>
                <c:pt idx="1">
                  <c:v>9</c:v>
                </c:pt>
                <c:pt idx="2">
                  <c:v>0.5</c:v>
                </c:pt>
                <c:pt idx="3">
                  <c:v>5.4</c:v>
                </c:pt>
                <c:pt idx="4">
                  <c:v>13</c:v>
                </c:pt>
                <c:pt idx="5">
                  <c:v>13</c:v>
                </c:pt>
                <c:pt idx="6">
                  <c:v>9.5</c:v>
                </c:pt>
                <c:pt idx="7">
                  <c:v>6</c:v>
                </c:pt>
                <c:pt idx="8">
                  <c:v>6</c:v>
                </c:pt>
                <c:pt idx="9">
                  <c:v>3.7</c:v>
                </c:pt>
                <c:pt idx="10">
                  <c:v>4</c:v>
                </c:pt>
                <c:pt idx="11">
                  <c:v>5.5</c:v>
                </c:pt>
                <c:pt idx="12">
                  <c:v>2.6</c:v>
                </c:pt>
                <c:pt idx="13">
                  <c:v>9.6</c:v>
                </c:pt>
              </c:numCache>
            </c:numRef>
          </c:xVal>
          <c:yVal>
            <c:numRef>
              <c:f>Traitement!$G$5:$G$18</c:f>
              <c:numCache>
                <c:formatCode>General</c:formatCode>
                <c:ptCount val="14"/>
                <c:pt idx="0">
                  <c:v>4.4000000000000004</c:v>
                </c:pt>
                <c:pt idx="1">
                  <c:v>7</c:v>
                </c:pt>
                <c:pt idx="2">
                  <c:v>7.8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8.6999999999999993</c:v>
                </c:pt>
                <c:pt idx="7">
                  <c:v>10.7</c:v>
                </c:pt>
                <c:pt idx="8">
                  <c:v>9</c:v>
                </c:pt>
                <c:pt idx="9">
                  <c:v>9</c:v>
                </c:pt>
                <c:pt idx="10">
                  <c:v>4</c:v>
                </c:pt>
                <c:pt idx="11">
                  <c:v>2</c:v>
                </c:pt>
                <c:pt idx="12">
                  <c:v>6.8</c:v>
                </c:pt>
                <c:pt idx="13">
                  <c:v>2</c:v>
                </c:pt>
              </c:numCache>
            </c:numRef>
          </c:yVal>
          <c:bubbleSize>
            <c:numRef>
              <c:f>Traitement!$I$4:$I$18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7.5439380669492739E-2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281D-4D8A-BE20-2F980A1A4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5"/>
        <c:showNegBubbles val="0"/>
        <c:axId val="1262453631"/>
        <c:axId val="1262444991"/>
      </c:bubbleChart>
      <c:valAx>
        <c:axId val="1262453631"/>
        <c:scaling>
          <c:orientation val="minMax"/>
          <c:max val="14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262444991"/>
        <c:crosses val="autoZero"/>
        <c:crossBetween val="midCat"/>
      </c:valAx>
      <c:valAx>
        <c:axId val="12624449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6245363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>
        <a:extLst>
          <a:ext uri="{96DAC541-7B7A-43D3-8B79-37D633B846F1}">
            <asvg:svgBlip xmlns:asvg="http://schemas.microsoft.com/office/drawing/2016/SVG/main" r:embed="rId4"/>
          </a:ext>
          <a:ext uri="{837473B0-CC2E-450A-ABE3-18F120FF3D39}">
            <a1611:picAttrSrcUrl xmlns:a1611="http://schemas.microsoft.com/office/drawing/2016/11/main" r:id="rId5"/>
          </a:ext>
        </a:extLst>
      </a:blip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208277977598458E-2"/>
          <c:y val="6.8027210884353748E-2"/>
          <c:w val="0.86457773025285423"/>
          <c:h val="0.8549393379399004"/>
        </c:manualLayout>
      </c:layout>
      <c:bubbleChart>
        <c:varyColors val="0"/>
        <c:ser>
          <c:idx val="0"/>
          <c:order val="0"/>
          <c:tx>
            <c:v>Evolution</c:v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xVal>
            <c:numRef>
              <c:f>Traitement!$F$5:$F$18</c:f>
              <c:numCache>
                <c:formatCode>General</c:formatCode>
                <c:ptCount val="14"/>
                <c:pt idx="0">
                  <c:v>8.6</c:v>
                </c:pt>
                <c:pt idx="1">
                  <c:v>9</c:v>
                </c:pt>
                <c:pt idx="2">
                  <c:v>0.5</c:v>
                </c:pt>
                <c:pt idx="3">
                  <c:v>5.4</c:v>
                </c:pt>
                <c:pt idx="4">
                  <c:v>13</c:v>
                </c:pt>
                <c:pt idx="5">
                  <c:v>13</c:v>
                </c:pt>
                <c:pt idx="6">
                  <c:v>9.5</c:v>
                </c:pt>
                <c:pt idx="7">
                  <c:v>6</c:v>
                </c:pt>
                <c:pt idx="8">
                  <c:v>6</c:v>
                </c:pt>
                <c:pt idx="9">
                  <c:v>3.7</c:v>
                </c:pt>
                <c:pt idx="10">
                  <c:v>4</c:v>
                </c:pt>
                <c:pt idx="11">
                  <c:v>5.5</c:v>
                </c:pt>
                <c:pt idx="12">
                  <c:v>2.6</c:v>
                </c:pt>
                <c:pt idx="13">
                  <c:v>9.6</c:v>
                </c:pt>
              </c:numCache>
            </c:numRef>
          </c:xVal>
          <c:yVal>
            <c:numRef>
              <c:f>Traitement!$G$5:$G$18</c:f>
              <c:numCache>
                <c:formatCode>General</c:formatCode>
                <c:ptCount val="14"/>
                <c:pt idx="0">
                  <c:v>4.4000000000000004</c:v>
                </c:pt>
                <c:pt idx="1">
                  <c:v>7</c:v>
                </c:pt>
                <c:pt idx="2">
                  <c:v>7.8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8.6999999999999993</c:v>
                </c:pt>
                <c:pt idx="7">
                  <c:v>10.7</c:v>
                </c:pt>
                <c:pt idx="8">
                  <c:v>9</c:v>
                </c:pt>
                <c:pt idx="9">
                  <c:v>9</c:v>
                </c:pt>
                <c:pt idx="10">
                  <c:v>4</c:v>
                </c:pt>
                <c:pt idx="11">
                  <c:v>2</c:v>
                </c:pt>
                <c:pt idx="12">
                  <c:v>6.8</c:v>
                </c:pt>
                <c:pt idx="13">
                  <c:v>2</c:v>
                </c:pt>
              </c:numCache>
            </c:numRef>
          </c:yVal>
          <c:bubbleSize>
            <c:numRef>
              <c:f>Traitement!$H$5:$H$18</c:f>
              <c:numCache>
                <c:formatCode>General</c:formatCode>
                <c:ptCount val="14"/>
                <c:pt idx="0">
                  <c:v>6.0776061333389642E-3</c:v>
                </c:pt>
                <c:pt idx="1">
                  <c:v>2.9799031899855333E-2</c:v>
                </c:pt>
                <c:pt idx="2">
                  <c:v>6.2487692087419333E-2</c:v>
                </c:pt>
                <c:pt idx="3">
                  <c:v>4.8867034002677112E-2</c:v>
                </c:pt>
                <c:pt idx="4">
                  <c:v>5.8904987494011518E-2</c:v>
                </c:pt>
                <c:pt idx="5">
                  <c:v>-0.21073888085736536</c:v>
                </c:pt>
                <c:pt idx="6">
                  <c:v>1.6568444453202158E-3</c:v>
                </c:pt>
                <c:pt idx="7">
                  <c:v>7.5439380669492739E-2</c:v>
                </c:pt>
                <c:pt idx="8">
                  <c:v>-6.6860765944923295E-3</c:v>
                </c:pt>
                <c:pt idx="9">
                  <c:v>5.3943262520311341E-2</c:v>
                </c:pt>
                <c:pt idx="10">
                  <c:v>3.2332405830636346E-2</c:v>
                </c:pt>
                <c:pt idx="11">
                  <c:v>2.6331840096662451E-2</c:v>
                </c:pt>
                <c:pt idx="12">
                  <c:v>4.2582246232756082E-2</c:v>
                </c:pt>
                <c:pt idx="13">
                  <c:v>1.0460738668759406E-3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51D2-47CC-918C-7EBC65E0E9D8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xVal>
            <c:numRef>
              <c:f>Traitement!$F$5:$F$18</c:f>
              <c:numCache>
                <c:formatCode>General</c:formatCode>
                <c:ptCount val="14"/>
                <c:pt idx="0">
                  <c:v>8.6</c:v>
                </c:pt>
                <c:pt idx="1">
                  <c:v>9</c:v>
                </c:pt>
                <c:pt idx="2">
                  <c:v>0.5</c:v>
                </c:pt>
                <c:pt idx="3">
                  <c:v>5.4</c:v>
                </c:pt>
                <c:pt idx="4">
                  <c:v>13</c:v>
                </c:pt>
                <c:pt idx="5">
                  <c:v>13</c:v>
                </c:pt>
                <c:pt idx="6">
                  <c:v>9.5</c:v>
                </c:pt>
                <c:pt idx="7">
                  <c:v>6</c:v>
                </c:pt>
                <c:pt idx="8">
                  <c:v>6</c:v>
                </c:pt>
                <c:pt idx="9">
                  <c:v>3.7</c:v>
                </c:pt>
                <c:pt idx="10">
                  <c:v>4</c:v>
                </c:pt>
                <c:pt idx="11">
                  <c:v>5.5</c:v>
                </c:pt>
                <c:pt idx="12">
                  <c:v>2.6</c:v>
                </c:pt>
                <c:pt idx="13">
                  <c:v>9.6</c:v>
                </c:pt>
              </c:numCache>
            </c:numRef>
          </c:xVal>
          <c:yVal>
            <c:numRef>
              <c:f>Traitement!$G$5:$G$18</c:f>
              <c:numCache>
                <c:formatCode>General</c:formatCode>
                <c:ptCount val="14"/>
                <c:pt idx="0">
                  <c:v>4.4000000000000004</c:v>
                </c:pt>
                <c:pt idx="1">
                  <c:v>7</c:v>
                </c:pt>
                <c:pt idx="2">
                  <c:v>7.8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8.6999999999999993</c:v>
                </c:pt>
                <c:pt idx="7">
                  <c:v>10.7</c:v>
                </c:pt>
                <c:pt idx="8">
                  <c:v>9</c:v>
                </c:pt>
                <c:pt idx="9">
                  <c:v>9</c:v>
                </c:pt>
                <c:pt idx="10">
                  <c:v>4</c:v>
                </c:pt>
                <c:pt idx="11">
                  <c:v>2</c:v>
                </c:pt>
                <c:pt idx="12">
                  <c:v>6.8</c:v>
                </c:pt>
                <c:pt idx="13">
                  <c:v>2</c:v>
                </c:pt>
              </c:numCache>
            </c:numRef>
          </c:yVal>
          <c:bubbleSize>
            <c:numRef>
              <c:f>Traitement!$I$4:$I$18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7.5439380669492739E-2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51D2-47CC-918C-7EBC65E0E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5"/>
        <c:showNegBubbles val="0"/>
        <c:axId val="1262453631"/>
        <c:axId val="1262444991"/>
      </c:bubbleChart>
      <c:valAx>
        <c:axId val="1262453631"/>
        <c:scaling>
          <c:orientation val="minMax"/>
          <c:max val="14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262444991"/>
        <c:crosses val="autoZero"/>
        <c:crossBetween val="midCat"/>
      </c:valAx>
      <c:valAx>
        <c:axId val="12624449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6245363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>
        <a:extLst>
          <a:ext uri="{96DAC541-7B7A-43D3-8B79-37D633B846F1}">
            <asvg:svgBlip xmlns:asvg="http://schemas.microsoft.com/office/drawing/2016/SVG/main" r:embed="rId4"/>
          </a:ext>
          <a:ext uri="{837473B0-CC2E-450A-ABE3-18F120FF3D39}">
            <a1611:picAttrSrcUrl xmlns:a1611="http://schemas.microsoft.com/office/drawing/2016/11/main" r:id="rId5"/>
          </a:ext>
        </a:extLst>
      </a:blip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0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SAE.xlsx]Traitement!Tableau croisé dynamique13</c:name>
    <c:fmtId val="3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Traitement!$B$72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A3-46F1-918E-1E72F5B801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A3-46F1-918E-1E72F5B801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A3-46F1-918E-1E72F5B801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A3-46F1-918E-1E72F5B801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9A3-46F1-918E-1E72F5B8015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9A3-46F1-918E-1E72F5B8015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9A3-46F1-918E-1E72F5B8015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9A3-46F1-918E-1E72F5B8015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9A3-46F1-918E-1E72F5B8015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9A3-46F1-918E-1E72F5B8015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9A3-46F1-918E-1E72F5B8015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9A3-46F1-918E-1E72F5B8015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9A3-46F1-918E-1E72F5B8015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9A3-46F1-918E-1E72F5B80154}"/>
              </c:ext>
            </c:extLst>
          </c:dPt>
          <c:cat>
            <c:strRef>
              <c:f>Traitement!$A$73:$A$87</c:f>
              <c:strCache>
                <c:ptCount val="14"/>
                <c:pt idx="0">
                  <c:v>Auvergne-Rhône-Alpes</c:v>
                </c:pt>
                <c:pt idx="1">
                  <c:v>Bourgogne-Franche-Comté</c:v>
                </c:pt>
                <c:pt idx="2">
                  <c:v>Bretagne</c:v>
                </c:pt>
                <c:pt idx="3">
                  <c:v>Centre-Val de Loire</c:v>
                </c:pt>
                <c:pt idx="4">
                  <c:v>Corse</c:v>
                </c:pt>
                <c:pt idx="5">
                  <c:v>DROM-COM</c:v>
                </c:pt>
                <c:pt idx="6">
                  <c:v>Grand Est</c:v>
                </c:pt>
                <c:pt idx="7">
                  <c:v>Hauts-de-France</c:v>
                </c:pt>
                <c:pt idx="8">
                  <c:v>Ile-de-France</c:v>
                </c:pt>
                <c:pt idx="9">
                  <c:v>Normandie</c:v>
                </c:pt>
                <c:pt idx="10">
                  <c:v>Nouvelle-Aquitaine</c:v>
                </c:pt>
                <c:pt idx="11">
                  <c:v>Occitanie</c:v>
                </c:pt>
                <c:pt idx="12">
                  <c:v>Pays de la Loire</c:v>
                </c:pt>
                <c:pt idx="13">
                  <c:v>Provence-Alpes-Côte d'Azur</c:v>
                </c:pt>
              </c:strCache>
            </c:strRef>
          </c:cat>
          <c:val>
            <c:numRef>
              <c:f>Traitement!$B$73:$B$87</c:f>
              <c:numCache>
                <c:formatCode>General</c:formatCode>
                <c:ptCount val="14"/>
                <c:pt idx="0">
                  <c:v>480138</c:v>
                </c:pt>
                <c:pt idx="1">
                  <c:v>-15980</c:v>
                </c:pt>
                <c:pt idx="2">
                  <c:v>176800</c:v>
                </c:pt>
                <c:pt idx="3">
                  <c:v>16468</c:v>
                </c:pt>
                <c:pt idx="4">
                  <c:v>33111</c:v>
                </c:pt>
                <c:pt idx="5">
                  <c:v>328822</c:v>
                </c:pt>
                <c:pt idx="6">
                  <c:v>22252</c:v>
                </c:pt>
                <c:pt idx="7">
                  <c:v>35122</c:v>
                </c:pt>
                <c:pt idx="8">
                  <c:v>464428</c:v>
                </c:pt>
                <c:pt idx="9">
                  <c:v>12889</c:v>
                </c:pt>
                <c:pt idx="10">
                  <c:v>296274</c:v>
                </c:pt>
                <c:pt idx="11">
                  <c:v>448710</c:v>
                </c:pt>
                <c:pt idx="12">
                  <c:v>252886</c:v>
                </c:pt>
                <c:pt idx="13">
                  <c:v>211771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0-4B35-9688-290AC160B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36285</xdr:colOff>
      <xdr:row>3</xdr:row>
      <xdr:rowOff>4544</xdr:rowOff>
    </xdr:from>
    <xdr:to>
      <xdr:col>68</xdr:col>
      <xdr:colOff>133048</xdr:colOff>
      <xdr:row>20</xdr:row>
      <xdr:rowOff>48381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3221C41-04FB-47EA-8BEA-39B4DFB0B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307015</xdr:colOff>
      <xdr:row>2</xdr:row>
      <xdr:rowOff>141794</xdr:rowOff>
    </xdr:from>
    <xdr:to>
      <xdr:col>30</xdr:col>
      <xdr:colOff>48380</xdr:colOff>
      <xdr:row>21</xdr:row>
      <xdr:rowOff>157238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73FF0368-B494-4506-83F7-C7F84F622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163284</xdr:colOff>
      <xdr:row>3</xdr:row>
      <xdr:rowOff>72402</xdr:rowOff>
    </xdr:from>
    <xdr:to>
      <xdr:col>47</xdr:col>
      <xdr:colOff>360001</xdr:colOff>
      <xdr:row>20</xdr:row>
      <xdr:rowOff>75724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C4B70FE4-251B-471C-8BC3-75A80CF83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187444</xdr:colOff>
      <xdr:row>30</xdr:row>
      <xdr:rowOff>141425</xdr:rowOff>
    </xdr:from>
    <xdr:to>
      <xdr:col>18</xdr:col>
      <xdr:colOff>309038</xdr:colOff>
      <xdr:row>46</xdr:row>
      <xdr:rowOff>165744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218B39ED-6CB4-4DBD-9956-2F99F360A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387</xdr:colOff>
      <xdr:row>22</xdr:row>
      <xdr:rowOff>41436</xdr:rowOff>
    </xdr:from>
    <xdr:to>
      <xdr:col>31</xdr:col>
      <xdr:colOff>26569</xdr:colOff>
      <xdr:row>29</xdr:row>
      <xdr:rowOff>137014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L_REGION 1">
              <a:extLst>
                <a:ext uri="{FF2B5EF4-FFF2-40B4-BE49-F238E27FC236}">
                  <a16:creationId xmlns:a16="http://schemas.microsoft.com/office/drawing/2014/main" id="{0045758B-9CB9-4CEF-8782-2564945567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_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387" y="4158910"/>
              <a:ext cx="4036708" cy="1405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51</xdr:col>
      <xdr:colOff>249261</xdr:colOff>
      <xdr:row>23</xdr:row>
      <xdr:rowOff>9418</xdr:rowOff>
    </xdr:from>
    <xdr:to>
      <xdr:col>66</xdr:col>
      <xdr:colOff>108582</xdr:colOff>
      <xdr:row>42</xdr:row>
      <xdr:rowOff>44586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6B82C8B0-0AFF-4E80-B69B-0DE2B37EE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490219</xdr:colOff>
      <xdr:row>3</xdr:row>
      <xdr:rowOff>48381</xdr:rowOff>
    </xdr:from>
    <xdr:to>
      <xdr:col>17</xdr:col>
      <xdr:colOff>665237</xdr:colOff>
      <xdr:row>22</xdr:row>
      <xdr:rowOff>147441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764A827-2C0A-4246-6899-9D54E34EC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181430</xdr:colOff>
      <xdr:row>25</xdr:row>
      <xdr:rowOff>181428</xdr:rowOff>
    </xdr:from>
    <xdr:to>
      <xdr:col>23</xdr:col>
      <xdr:colOff>762001</xdr:colOff>
      <xdr:row>41</xdr:row>
      <xdr:rowOff>21771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9A834FC1-8FC6-48A9-8EBA-41C313979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1114985</xdr:colOff>
      <xdr:row>64</xdr:row>
      <xdr:rowOff>118783</xdr:rowOff>
    </xdr:from>
    <xdr:to>
      <xdr:col>5</xdr:col>
      <xdr:colOff>1395132</xdr:colOff>
      <xdr:row>79</xdr:row>
      <xdr:rowOff>172571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291C395-5101-672B-5323-4CD750817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el Rooban" refreshedDate="45990.912783564818" createdVersion="8" refreshedVersion="8" minRefreshableVersion="3" recordCount="14" xr:uid="{81E2DCAB-BF78-4884-A7DA-7ABEDD94C0AA}">
  <cacheSource type="worksheet">
    <worksheetSource name="Statut_de_volume_de_dechet"/>
  </cacheSource>
  <cacheFields count="12">
    <cacheField name="L_REGION" numFmtId="0">
      <sharedItems count="14">
        <s v="Auvergne-Rhône-Alpes"/>
        <s v="Bourgogne-Franche-Comté"/>
        <s v="Bretagne"/>
        <s v="Centre-Val de Loire"/>
        <s v="Corse"/>
        <s v="Grand Est"/>
        <s v="Hauts-de-France"/>
        <s v="Ile-de-France"/>
        <s v="Normandie"/>
        <s v="Nouvelle-Aquitaine"/>
        <s v="Occitanie"/>
        <s v="Pays de la Loire"/>
        <s v="Provence-Alpes-Côte d'Azur"/>
        <s v="DROM-COM"/>
      </sharedItems>
    </cacheField>
    <cacheField name="Tonnage de déchets en 2011" numFmtId="0">
      <sharedItems containsSemiMixedTypes="0" containsString="0" containsNumber="1" minValue="215797.49" maxValue="5719646.3200000031" count="14">
        <n v="4259230.9500000011"/>
        <n v="1595942.4299999997"/>
        <n v="2130108.1100000003"/>
        <n v="1468525.79"/>
        <n v="215797.49"/>
        <n v="3079576.6399999997"/>
        <n v="3797101.85"/>
        <n v="5719646.3200000031"/>
        <n v="2209089.33"/>
        <n v="3670068.3700000006"/>
        <n v="3429007.9699999997"/>
        <n v="2084736.01"/>
        <n v="3584688.580000001"/>
        <n v="1202096.04"/>
      </sharedItems>
    </cacheField>
    <cacheField name="Population en 2011" numFmtId="0">
      <sharedItems containsSemiMixedTypes="0" containsString="0" containsNumber="1" containsInteger="1" minValue="314486" maxValue="11852851" count="14">
        <n v="7634223"/>
        <n v="2816174"/>
        <n v="3217767"/>
        <n v="2556835"/>
        <n v="314486"/>
        <n v="5539035"/>
        <n v="5960170"/>
        <n v="11852851"/>
        <n v="3315077"/>
        <n v="5773078"/>
        <n v="5573466"/>
        <n v="3601113"/>
        <n v="4916069"/>
        <n v="1863056"/>
      </sharedItems>
    </cacheField>
    <cacheField name="Dechets par habitant en 2011" numFmtId="0">
      <sharedItems containsSemiMixedTypes="0" containsString="0" containsNumber="1" minValue="0.48255447739957275" maxValue="0.72917784107586792" count="14">
        <n v="0.55791282884977311"/>
        <n v="0.5667059031153614"/>
        <n v="0.66198332881156419"/>
        <n v="0.57435297545598363"/>
        <n v="0.68619108640766202"/>
        <n v="0.55597710431510172"/>
        <n v="0.63707945410953049"/>
        <n v="0.48255447739957275"/>
        <n v="0.66637647632317443"/>
        <n v="0.63572125129783463"/>
        <n v="0.61523798117724227"/>
        <n v="0.5789143550896626"/>
        <n v="0.72917784107586792"/>
        <n v="0.64522807688013673"/>
      </sharedItems>
    </cacheField>
    <cacheField name="Tonnage de déchets en 2021" numFmtId="0">
      <sharedItems containsSemiMixedTypes="0" containsString="0" containsNumber="1" minValue="258993.16" maxValue="5861403.8600000003" count="14">
        <n v="4576421.99"/>
        <n v="1670329.5399999998"/>
        <n v="2459265.42"/>
        <n v="1603733.92"/>
        <n v="258993.16"/>
        <n v="3101162.4300000006"/>
        <n v="4271758.47"/>
        <n v="5861403.8600000003"/>
        <n v="2397199.6"/>
        <n v="4054652.7999999993"/>
        <n v="3863646.3799999985"/>
        <n v="2395247.2800000003"/>
        <n v="3744471.4"/>
        <n v="952347.31"/>
      </sharedItems>
    </cacheField>
    <cacheField name="Population en 2021" numFmtId="0">
      <sharedItems containsSemiMixedTypes="0" containsString="0" containsNumber="1" containsInteger="1" minValue="347597" maxValue="12317279" count="14">
        <n v="8114361"/>
        <n v="2800194"/>
        <n v="3394567"/>
        <n v="2573303"/>
        <n v="347597"/>
        <n v="5561287"/>
        <n v="5995292"/>
        <n v="12317279"/>
        <n v="3327966"/>
        <n v="6069352"/>
        <n v="6022176"/>
        <n v="3853999"/>
        <n v="5127840"/>
        <n v="2191878"/>
      </sharedItems>
    </cacheField>
    <cacheField name="Dechets par habitant en 2021" numFmtId="0">
      <sharedItems containsSemiMixedTypes="0" containsString="0" containsNumber="1" minValue="0.43448919602277136" maxValue="0.74509607390167354" count="14">
        <n v="0.56399043498311208"/>
        <n v="0.59650493501521673"/>
        <n v="0.72447102089898352"/>
        <n v="0.62322000945866074"/>
        <n v="0.74509607390167354"/>
        <n v="0.55763394876042194"/>
        <n v="0.71251883477902322"/>
        <n v="0.47586840080508042"/>
        <n v="0.72031973884348577"/>
        <n v="0.66805365712847098"/>
        <n v="0.64156982127390472"/>
        <n v="0.62149660132241868"/>
        <n v="0.73022391494274386"/>
        <n v="0.43448919602277136"/>
      </sharedItems>
    </cacheField>
    <cacheField name="Evolution" numFmtId="0">
      <sharedItems containsSemiMixedTypes="0" containsString="0" containsNumber="1" minValue="-0.21073888085736536" maxValue="7.5439380669492739E-2"/>
    </cacheField>
    <cacheField name="Statut" numFmtId="0">
      <sharedItems count="4">
        <s v="Stable"/>
        <s v="Augmentation faible"/>
        <s v="Forte augmentation"/>
        <s v="Trés forte amélioration"/>
      </sharedItems>
    </cacheField>
    <cacheField name="Evolution de la population" numFmtId="0">
      <sharedItems containsSemiMixedTypes="0" containsString="0" containsNumber="1" containsInteger="1" minValue="-15980" maxValue="480138"/>
    </cacheField>
    <cacheField name="Statut d'évolution de la population" numFmtId="0">
      <sharedItems count="4">
        <s v="Forte augmentation de la population"/>
        <s v="Baisse de la population"/>
        <s v="Légére augmentation de la population"/>
        <s v="Trés légére augmentation de la population"/>
      </sharedItems>
    </cacheField>
    <cacheField name="A-P" numFmtId="0" formula="IF(Evolution&gt;0,Evolution,0)" databaseField="0"/>
  </cacheFields>
  <extLst>
    <ext xmlns:x14="http://schemas.microsoft.com/office/spreadsheetml/2009/9/main" uri="{725AE2AE-9491-48be-B2B4-4EB974FC3084}">
      <x14:pivotCacheDefinition pivotCacheId="9298265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x v="0"/>
    <x v="0"/>
    <x v="0"/>
    <x v="0"/>
    <n v="6.0776061333389642E-3"/>
    <x v="0"/>
    <n v="480138"/>
    <x v="0"/>
  </r>
  <r>
    <x v="1"/>
    <x v="1"/>
    <x v="1"/>
    <x v="1"/>
    <x v="1"/>
    <x v="1"/>
    <x v="1"/>
    <n v="2.9799031899855333E-2"/>
    <x v="1"/>
    <n v="-15980"/>
    <x v="1"/>
  </r>
  <r>
    <x v="2"/>
    <x v="2"/>
    <x v="2"/>
    <x v="2"/>
    <x v="2"/>
    <x v="2"/>
    <x v="2"/>
    <n v="6.2487692087419333E-2"/>
    <x v="2"/>
    <n v="176800"/>
    <x v="2"/>
  </r>
  <r>
    <x v="3"/>
    <x v="3"/>
    <x v="3"/>
    <x v="3"/>
    <x v="3"/>
    <x v="3"/>
    <x v="3"/>
    <n v="4.8867034002677112E-2"/>
    <x v="1"/>
    <n v="16468"/>
    <x v="3"/>
  </r>
  <r>
    <x v="4"/>
    <x v="4"/>
    <x v="4"/>
    <x v="4"/>
    <x v="4"/>
    <x v="4"/>
    <x v="4"/>
    <n v="5.8904987494011518E-2"/>
    <x v="2"/>
    <n v="33111"/>
    <x v="3"/>
  </r>
  <r>
    <x v="5"/>
    <x v="5"/>
    <x v="5"/>
    <x v="5"/>
    <x v="5"/>
    <x v="5"/>
    <x v="5"/>
    <n v="1.6568444453202158E-3"/>
    <x v="0"/>
    <n v="22252"/>
    <x v="3"/>
  </r>
  <r>
    <x v="6"/>
    <x v="6"/>
    <x v="6"/>
    <x v="6"/>
    <x v="6"/>
    <x v="6"/>
    <x v="6"/>
    <n v="7.5439380669492739E-2"/>
    <x v="2"/>
    <n v="35122"/>
    <x v="3"/>
  </r>
  <r>
    <x v="7"/>
    <x v="7"/>
    <x v="7"/>
    <x v="7"/>
    <x v="7"/>
    <x v="7"/>
    <x v="7"/>
    <n v="-6.6860765944923295E-3"/>
    <x v="0"/>
    <n v="464428"/>
    <x v="0"/>
  </r>
  <r>
    <x v="8"/>
    <x v="8"/>
    <x v="8"/>
    <x v="8"/>
    <x v="8"/>
    <x v="8"/>
    <x v="8"/>
    <n v="5.3943262520311341E-2"/>
    <x v="2"/>
    <n v="12889"/>
    <x v="3"/>
  </r>
  <r>
    <x v="9"/>
    <x v="9"/>
    <x v="9"/>
    <x v="9"/>
    <x v="9"/>
    <x v="9"/>
    <x v="9"/>
    <n v="3.2332405830636346E-2"/>
    <x v="1"/>
    <n v="296274"/>
    <x v="0"/>
  </r>
  <r>
    <x v="10"/>
    <x v="10"/>
    <x v="10"/>
    <x v="10"/>
    <x v="10"/>
    <x v="10"/>
    <x v="10"/>
    <n v="2.6331840096662451E-2"/>
    <x v="1"/>
    <n v="448710"/>
    <x v="0"/>
  </r>
  <r>
    <x v="11"/>
    <x v="11"/>
    <x v="11"/>
    <x v="11"/>
    <x v="11"/>
    <x v="11"/>
    <x v="11"/>
    <n v="4.2582246232756082E-2"/>
    <x v="1"/>
    <n v="252886"/>
    <x v="0"/>
  </r>
  <r>
    <x v="12"/>
    <x v="12"/>
    <x v="12"/>
    <x v="12"/>
    <x v="12"/>
    <x v="12"/>
    <x v="12"/>
    <n v="1.0460738668759406E-3"/>
    <x v="0"/>
    <n v="211771"/>
    <x v="0"/>
  </r>
  <r>
    <x v="13"/>
    <x v="13"/>
    <x v="13"/>
    <x v="13"/>
    <x v="13"/>
    <x v="13"/>
    <x v="13"/>
    <n v="-0.21073888085736536"/>
    <x v="3"/>
    <n v="32882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1DFEE-EFC5-412C-8A65-621F0E0355D5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7">
  <location ref="A45:B60" firstHeaderRow="1" firstDataRow="1" firstDataCol="1"/>
  <pivotFields count="12">
    <pivotField axis="axisRow" showAll="0" sortType="ascending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15">
    <i>
      <x v="5"/>
    </i>
    <i>
      <x v="8"/>
    </i>
    <i>
      <x v="13"/>
    </i>
    <i>
      <x v="6"/>
    </i>
    <i>
      <x/>
    </i>
    <i>
      <x v="11"/>
    </i>
    <i>
      <x v="1"/>
    </i>
    <i>
      <x v="10"/>
    </i>
    <i>
      <x v="12"/>
    </i>
    <i>
      <x v="3"/>
    </i>
    <i>
      <x v="9"/>
    </i>
    <i>
      <x v="4"/>
    </i>
    <i>
      <x v="2"/>
    </i>
    <i>
      <x v="7"/>
    </i>
    <i t="grand">
      <x/>
    </i>
  </rowItems>
  <colItems count="1">
    <i/>
  </colItems>
  <dataFields count="1">
    <dataField name="Somme de A-P" fld="11" baseField="0" baseItem="0"/>
  </dataFields>
  <chartFormats count="3">
    <chartFormat chart="2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788FF-08F1-4765-BAA6-AA648F8CDDDA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1">
  <location ref="N38:O53" firstHeaderRow="1" firstDataRow="1" firstDataCol="1"/>
  <pivotFields count="12">
    <pivotField axis="axisRow" showAll="0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me de Population en 2021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327EE-D8FF-443B-B56A-D16A0E7D8860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7">
  <location ref="A22:B36" firstHeaderRow="1" firstDataRow="1" firstDataCol="1"/>
  <pivotFields count="12">
    <pivotField axis="axisRow" showAll="0" measureFilter="1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0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me de Evolution de la population" fld="9" baseField="0" baseItem="0"/>
  </dataFields>
  <chartFormats count="16">
    <chartFormat chart="4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0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0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0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0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0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0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0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0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0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0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0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2B85C-5816-480F-B6BA-0A84C275E1F2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0">
  <location ref="D53:E68" firstHeaderRow="1" firstDataRow="1" firstDataCol="1"/>
  <pivotFields count="12">
    <pivotField axis="axisRow" showAll="0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5">
        <item x="4"/>
        <item x="13"/>
        <item x="3"/>
        <item x="1"/>
        <item x="11"/>
        <item x="2"/>
        <item x="8"/>
        <item x="5"/>
        <item x="10"/>
        <item x="12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2"/>
        <item x="8"/>
        <item x="11"/>
        <item x="12"/>
        <item x="5"/>
        <item x="10"/>
        <item x="9"/>
        <item x="6"/>
        <item x="0"/>
        <item x="7"/>
        <item t="default"/>
      </items>
    </pivotField>
    <pivotField showAll="0">
      <items count="15">
        <item x="7"/>
        <item x="5"/>
        <item x="0"/>
        <item x="1"/>
        <item x="3"/>
        <item x="11"/>
        <item x="10"/>
        <item x="9"/>
        <item x="6"/>
        <item x="13"/>
        <item x="2"/>
        <item x="8"/>
        <item x="4"/>
        <item x="12"/>
        <item t="default"/>
      </items>
    </pivotField>
    <pivotField showAll="0">
      <items count="15">
        <item x="4"/>
        <item x="13"/>
        <item x="3"/>
        <item x="1"/>
        <item x="11"/>
        <item x="8"/>
        <item x="2"/>
        <item x="5"/>
        <item x="12"/>
        <item x="10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8"/>
        <item x="2"/>
        <item x="11"/>
        <item x="12"/>
        <item x="5"/>
        <item x="6"/>
        <item x="10"/>
        <item x="9"/>
        <item x="0"/>
        <item x="7"/>
        <item t="default"/>
      </items>
    </pivotField>
    <pivotField showAll="0">
      <items count="15">
        <item x="13"/>
        <item x="7"/>
        <item x="5"/>
        <item x="0"/>
        <item x="1"/>
        <item x="11"/>
        <item x="3"/>
        <item x="10"/>
        <item x="9"/>
        <item x="6"/>
        <item x="8"/>
        <item x="2"/>
        <item x="12"/>
        <item x="4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dataField="1" showAll="0"/>
    <pivotField showAll="0">
      <items count="5">
        <item h="1" x="1"/>
        <item x="0"/>
        <item h="1" x="2"/>
        <item h="1" x="3"/>
        <item t="default"/>
      </items>
    </pivotField>
    <pivotField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me de Evolution de la populatio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E1F6F-28EE-4845-B023-18D74EEC35D9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0">
  <location ref="D25:F40" firstHeaderRow="0" firstDataRow="1" firstDataCol="1"/>
  <pivotFields count="12">
    <pivotField axis="axisRow" showAll="0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>
      <items count="15">
        <item x="4"/>
        <item x="13"/>
        <item x="3"/>
        <item x="1"/>
        <item x="11"/>
        <item x="2"/>
        <item x="8"/>
        <item x="5"/>
        <item x="10"/>
        <item x="12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2"/>
        <item x="8"/>
        <item x="11"/>
        <item x="12"/>
        <item x="5"/>
        <item x="10"/>
        <item x="9"/>
        <item x="6"/>
        <item x="0"/>
        <item x="7"/>
        <item t="default"/>
      </items>
    </pivotField>
    <pivotField showAll="0">
      <items count="15">
        <item x="7"/>
        <item x="5"/>
        <item x="0"/>
        <item x="1"/>
        <item x="3"/>
        <item x="11"/>
        <item x="10"/>
        <item x="9"/>
        <item x="6"/>
        <item x="13"/>
        <item x="2"/>
        <item x="8"/>
        <item x="4"/>
        <item x="12"/>
        <item t="default"/>
      </items>
    </pivotField>
    <pivotField dataField="1" showAll="0">
      <items count="15">
        <item x="4"/>
        <item x="13"/>
        <item x="3"/>
        <item x="1"/>
        <item x="11"/>
        <item x="8"/>
        <item x="2"/>
        <item x="5"/>
        <item x="12"/>
        <item x="10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8"/>
        <item x="2"/>
        <item x="11"/>
        <item x="12"/>
        <item x="5"/>
        <item x="6"/>
        <item x="10"/>
        <item x="9"/>
        <item x="0"/>
        <item x="7"/>
        <item t="default"/>
      </items>
    </pivotField>
    <pivotField showAll="0">
      <items count="15">
        <item x="13"/>
        <item x="7"/>
        <item x="5"/>
        <item x="0"/>
        <item x="1"/>
        <item x="11"/>
        <item x="3"/>
        <item x="10"/>
        <item x="9"/>
        <item x="6"/>
        <item x="8"/>
        <item x="2"/>
        <item x="12"/>
        <item x="4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>
      <items count="5">
        <item h="1" x="1"/>
        <item x="0"/>
        <item h="1" x="2"/>
        <item h="1" x="3"/>
        <item t="default"/>
      </items>
    </pivotField>
    <pivotField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Tonnage de déchets en 2021" fld="4" baseField="0" baseItem="0"/>
    <dataField name="Somme de Tonnage de déchets en 2011" fld="1" baseField="0" baseItem="0"/>
  </dataFields>
  <formats count="2">
    <format dxfId="114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113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</formats>
  <chartFormats count="26"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2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22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2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2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2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2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2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2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22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22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2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2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2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B9032-C3CC-4FA4-A9C2-6F532DF7374D}" name="Tableau croisé dynamique1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0" rowHeaderCaption="Statut">
  <location ref="N61:N66" firstHeaderRow="1" firstDataRow="1" firstDataCol="1" rowPageCount="1" colPageCount="1"/>
  <pivotFields count="12">
    <pivotField axis="axisPage" multipleItemSelectionAllowed="1" showAll="0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5">
        <item x="4"/>
        <item x="13"/>
        <item x="3"/>
        <item x="1"/>
        <item x="11"/>
        <item x="2"/>
        <item x="8"/>
        <item x="5"/>
        <item x="10"/>
        <item x="12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2"/>
        <item x="8"/>
        <item x="11"/>
        <item x="12"/>
        <item x="5"/>
        <item x="10"/>
        <item x="9"/>
        <item x="6"/>
        <item x="0"/>
        <item x="7"/>
        <item t="default"/>
      </items>
    </pivotField>
    <pivotField showAll="0">
      <items count="15">
        <item x="7"/>
        <item x="5"/>
        <item x="0"/>
        <item x="1"/>
        <item x="3"/>
        <item x="11"/>
        <item x="10"/>
        <item x="9"/>
        <item x="6"/>
        <item x="13"/>
        <item x="2"/>
        <item x="8"/>
        <item x="4"/>
        <item x="12"/>
        <item t="default"/>
      </items>
    </pivotField>
    <pivotField showAll="0">
      <items count="15">
        <item x="4"/>
        <item x="13"/>
        <item x="3"/>
        <item x="1"/>
        <item x="11"/>
        <item x="8"/>
        <item x="2"/>
        <item x="5"/>
        <item x="12"/>
        <item x="10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8"/>
        <item x="2"/>
        <item x="11"/>
        <item x="12"/>
        <item x="5"/>
        <item x="6"/>
        <item x="10"/>
        <item x="9"/>
        <item x="0"/>
        <item x="7"/>
        <item t="default"/>
      </items>
    </pivotField>
    <pivotField showAll="0">
      <items count="15">
        <item x="13"/>
        <item x="7"/>
        <item x="5"/>
        <item x="0"/>
        <item x="1"/>
        <item x="11"/>
        <item x="3"/>
        <item x="10"/>
        <item x="9"/>
        <item x="6"/>
        <item x="8"/>
        <item x="2"/>
        <item x="12"/>
        <item x="4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5">
        <item h="1" x="1"/>
        <item x="0"/>
        <item h="1" x="2"/>
        <item h="1" x="3"/>
        <item t="default"/>
      </items>
    </pivotField>
    <pivotField dragToRow="0" dragToCol="0" dragToPage="0" showAll="0" defaultSubtota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D6DC9-A303-43A8-9920-2BD206F87E6F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0">
  <location ref="G53:H68" firstHeaderRow="1" firstDataRow="1" firstDataCol="1"/>
  <pivotFields count="12">
    <pivotField axis="axisRow" showAll="0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5">
        <item x="4"/>
        <item x="13"/>
        <item x="3"/>
        <item x="1"/>
        <item x="11"/>
        <item x="2"/>
        <item x="8"/>
        <item x="5"/>
        <item x="10"/>
        <item x="12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2"/>
        <item x="8"/>
        <item x="11"/>
        <item x="12"/>
        <item x="5"/>
        <item x="10"/>
        <item x="9"/>
        <item x="6"/>
        <item x="0"/>
        <item x="7"/>
        <item t="default"/>
      </items>
    </pivotField>
    <pivotField showAll="0">
      <items count="15">
        <item x="7"/>
        <item x="5"/>
        <item x="0"/>
        <item x="1"/>
        <item x="3"/>
        <item x="11"/>
        <item x="10"/>
        <item x="9"/>
        <item x="6"/>
        <item x="13"/>
        <item x="2"/>
        <item x="8"/>
        <item x="4"/>
        <item x="12"/>
        <item t="default"/>
      </items>
    </pivotField>
    <pivotField showAll="0">
      <items count="15">
        <item x="4"/>
        <item x="13"/>
        <item x="3"/>
        <item x="1"/>
        <item x="11"/>
        <item x="8"/>
        <item x="2"/>
        <item x="5"/>
        <item x="12"/>
        <item x="10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8"/>
        <item x="2"/>
        <item x="11"/>
        <item x="12"/>
        <item x="5"/>
        <item x="6"/>
        <item x="10"/>
        <item x="9"/>
        <item x="0"/>
        <item x="7"/>
        <item t="default"/>
      </items>
    </pivotField>
    <pivotField showAll="0">
      <items count="15">
        <item x="13"/>
        <item x="7"/>
        <item x="5"/>
        <item x="0"/>
        <item x="1"/>
        <item x="11"/>
        <item x="3"/>
        <item x="10"/>
        <item x="9"/>
        <item x="6"/>
        <item x="8"/>
        <item x="2"/>
        <item x="12"/>
        <item x="4"/>
        <item t="default"/>
      </items>
    </pivotField>
    <pivotField dataField="1" showAll="0"/>
    <pivotField showAll="0">
      <items count="5">
        <item x="1"/>
        <item x="2"/>
        <item x="0"/>
        <item x="3"/>
        <item t="default"/>
      </items>
    </pivotField>
    <pivotField showAll="0"/>
    <pivotField showAll="0">
      <items count="5">
        <item h="1" x="1"/>
        <item x="0"/>
        <item h="1" x="2"/>
        <item h="1" x="3"/>
        <item t="default"/>
      </items>
    </pivotField>
    <pivotField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me de Evolution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F52C6-917B-4128-A008-9FF85EB42CC0}" name="Tableau croisé dynamique1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3">
  <location ref="A72:B87" firstHeaderRow="1" firstDataRow="1" firstDataCol="1"/>
  <pivotFields count="12">
    <pivotField axis="axisRow" showAll="0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5">
        <item x="4"/>
        <item x="13"/>
        <item x="3"/>
        <item x="1"/>
        <item x="11"/>
        <item x="2"/>
        <item x="8"/>
        <item x="5"/>
        <item x="10"/>
        <item x="12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2"/>
        <item x="8"/>
        <item x="11"/>
        <item x="12"/>
        <item x="5"/>
        <item x="10"/>
        <item x="9"/>
        <item x="6"/>
        <item x="0"/>
        <item x="7"/>
        <item t="default"/>
      </items>
    </pivotField>
    <pivotField showAll="0">
      <items count="15">
        <item x="7"/>
        <item x="5"/>
        <item x="0"/>
        <item x="1"/>
        <item x="3"/>
        <item x="11"/>
        <item x="10"/>
        <item x="9"/>
        <item x="6"/>
        <item x="13"/>
        <item x="2"/>
        <item x="8"/>
        <item x="4"/>
        <item x="12"/>
        <item t="default"/>
      </items>
    </pivotField>
    <pivotField showAll="0">
      <items count="15">
        <item x="4"/>
        <item x="13"/>
        <item x="3"/>
        <item x="1"/>
        <item x="11"/>
        <item x="8"/>
        <item x="2"/>
        <item x="5"/>
        <item x="12"/>
        <item x="10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8"/>
        <item x="2"/>
        <item x="11"/>
        <item x="12"/>
        <item x="5"/>
        <item x="6"/>
        <item x="10"/>
        <item x="9"/>
        <item x="0"/>
        <item x="7"/>
        <item t="default"/>
      </items>
    </pivotField>
    <pivotField showAll="0">
      <items count="15">
        <item x="13"/>
        <item x="7"/>
        <item x="5"/>
        <item x="0"/>
        <item x="1"/>
        <item x="11"/>
        <item x="3"/>
        <item x="10"/>
        <item x="9"/>
        <item x="6"/>
        <item x="8"/>
        <item x="2"/>
        <item x="12"/>
        <item x="4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dataField="1" showAll="0"/>
    <pivotField showAll="0">
      <items count="5">
        <item h="1" x="1"/>
        <item x="0"/>
        <item h="1" x="2"/>
        <item h="1" x="3"/>
        <item t="default"/>
      </items>
    </pivotField>
    <pivotField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me de Evolution de la population" fld="9" baseField="0" baseItem="0"/>
  </dataFields>
  <chartFormats count="50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2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2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2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5B4B3-9F0E-456F-9811-DDD836BEF279}" name="Tableau croisé dynamique1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0" rowHeaderCaption="Statut">
  <location ref="L59:L78" firstHeaderRow="1" firstDataRow="1" firstDataCol="1"/>
  <pivotFields count="12">
    <pivotField axis="axisRow" showAll="0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5">
        <item x="4"/>
        <item x="13"/>
        <item x="3"/>
        <item x="1"/>
        <item x="11"/>
        <item x="2"/>
        <item x="8"/>
        <item x="5"/>
        <item x="10"/>
        <item x="12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2"/>
        <item x="8"/>
        <item x="11"/>
        <item x="12"/>
        <item x="5"/>
        <item x="10"/>
        <item x="9"/>
        <item x="6"/>
        <item x="0"/>
        <item x="7"/>
        <item t="default"/>
      </items>
    </pivotField>
    <pivotField showAll="0">
      <items count="15">
        <item x="7"/>
        <item x="5"/>
        <item x="0"/>
        <item x="1"/>
        <item x="3"/>
        <item x="11"/>
        <item x="10"/>
        <item x="9"/>
        <item x="6"/>
        <item x="13"/>
        <item x="2"/>
        <item x="8"/>
        <item x="4"/>
        <item x="12"/>
        <item t="default"/>
      </items>
    </pivotField>
    <pivotField showAll="0">
      <items count="15">
        <item x="4"/>
        <item x="13"/>
        <item x="3"/>
        <item x="1"/>
        <item x="11"/>
        <item x="8"/>
        <item x="2"/>
        <item x="5"/>
        <item x="12"/>
        <item x="10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8"/>
        <item x="2"/>
        <item x="11"/>
        <item x="12"/>
        <item x="5"/>
        <item x="6"/>
        <item x="10"/>
        <item x="9"/>
        <item x="0"/>
        <item x="7"/>
        <item t="default"/>
      </items>
    </pivotField>
    <pivotField showAll="0">
      <items count="15">
        <item x="13"/>
        <item x="7"/>
        <item x="5"/>
        <item x="0"/>
        <item x="1"/>
        <item x="11"/>
        <item x="3"/>
        <item x="10"/>
        <item x="9"/>
        <item x="6"/>
        <item x="8"/>
        <item x="2"/>
        <item x="12"/>
        <item x="4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</pivotFields>
  <rowFields count="2">
    <field x="10"/>
    <field x="0"/>
  </rowFields>
  <rowItems count="19">
    <i>
      <x/>
    </i>
    <i r="1">
      <x v="1"/>
    </i>
    <i>
      <x v="1"/>
    </i>
    <i r="1">
      <x/>
    </i>
    <i r="1">
      <x v="5"/>
    </i>
    <i r="1">
      <x v="8"/>
    </i>
    <i r="1">
      <x v="10"/>
    </i>
    <i r="1">
      <x v="11"/>
    </i>
    <i r="1">
      <x v="12"/>
    </i>
    <i r="1">
      <x v="13"/>
    </i>
    <i>
      <x v="2"/>
    </i>
    <i r="1">
      <x v="2"/>
    </i>
    <i>
      <x v="3"/>
    </i>
    <i r="1">
      <x v="3"/>
    </i>
    <i r="1">
      <x v="4"/>
    </i>
    <i r="1">
      <x v="6"/>
    </i>
    <i r="1">
      <x v="7"/>
    </i>
    <i r="1"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60314-E242-4E10-BEAE-DF3ACB9A8942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0">
  <location ref="J4:K19" firstHeaderRow="1" firstDataRow="1" firstDataCol="1"/>
  <pivotFields count="12">
    <pivotField axis="axisRow" showAll="0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me de Evolution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4216F-8C3D-4EFF-A8A1-D9819DC3C591}" name="Tableau croisé dynamique1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0" rowHeaderCaption="Statut">
  <location ref="J55:J84" firstHeaderRow="1" firstDataRow="1" firstDataCol="1"/>
  <pivotFields count="12">
    <pivotField axis="axisRow" multipleItemSelectionAllowed="1" showAll="0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5">
        <item x="4"/>
        <item x="13"/>
        <item x="3"/>
        <item x="1"/>
        <item x="11"/>
        <item x="2"/>
        <item x="8"/>
        <item x="5"/>
        <item x="10"/>
        <item x="12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2"/>
        <item x="8"/>
        <item x="11"/>
        <item x="12"/>
        <item x="5"/>
        <item x="10"/>
        <item x="9"/>
        <item x="6"/>
        <item x="0"/>
        <item x="7"/>
        <item t="default"/>
      </items>
    </pivotField>
    <pivotField showAll="0">
      <items count="15">
        <item x="7"/>
        <item x="5"/>
        <item x="0"/>
        <item x="1"/>
        <item x="3"/>
        <item x="11"/>
        <item x="10"/>
        <item x="9"/>
        <item x="6"/>
        <item x="13"/>
        <item x="2"/>
        <item x="8"/>
        <item x="4"/>
        <item x="12"/>
        <item t="default"/>
      </items>
    </pivotField>
    <pivotField showAll="0">
      <items count="15">
        <item x="4"/>
        <item x="13"/>
        <item x="3"/>
        <item x="1"/>
        <item x="11"/>
        <item x="8"/>
        <item x="2"/>
        <item x="5"/>
        <item x="12"/>
        <item x="10"/>
        <item x="9"/>
        <item x="6"/>
        <item x="0"/>
        <item x="7"/>
        <item t="default"/>
      </items>
    </pivotField>
    <pivotField showAll="0">
      <items count="15">
        <item x="4"/>
        <item x="13"/>
        <item x="3"/>
        <item x="1"/>
        <item x="8"/>
        <item x="2"/>
        <item x="11"/>
        <item x="12"/>
        <item x="5"/>
        <item x="6"/>
        <item x="10"/>
        <item x="9"/>
        <item x="0"/>
        <item x="7"/>
        <item t="default"/>
      </items>
    </pivotField>
    <pivotField showAll="0">
      <items count="15">
        <item x="13"/>
        <item x="7"/>
        <item x="5"/>
        <item x="0"/>
        <item x="1"/>
        <item x="11"/>
        <item x="3"/>
        <item x="10"/>
        <item x="9"/>
        <item x="6"/>
        <item x="8"/>
        <item x="2"/>
        <item x="12"/>
        <item x="4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>
      <items count="5">
        <item h="1" x="1"/>
        <item x="0"/>
        <item h="1" x="2"/>
        <item h="1" x="3"/>
        <item t="default"/>
      </items>
    </pivotField>
    <pivotField dragToRow="0" dragToCol="0" dragToPage="0" showAll="0" defaultSubtotal="0"/>
  </pivotFields>
  <rowFields count="2">
    <field x="0"/>
    <field x="8"/>
  </rowFields>
  <rowItems count="29">
    <i>
      <x/>
    </i>
    <i r="1">
      <x v="2"/>
    </i>
    <i>
      <x v="1"/>
    </i>
    <i r="1">
      <x/>
    </i>
    <i>
      <x v="2"/>
    </i>
    <i r="1">
      <x v="1"/>
    </i>
    <i>
      <x v="3"/>
    </i>
    <i r="1">
      <x/>
    </i>
    <i>
      <x v="4"/>
    </i>
    <i r="1">
      <x v="1"/>
    </i>
    <i>
      <x v="5"/>
    </i>
    <i r="1">
      <x v="3"/>
    </i>
    <i>
      <x v="6"/>
    </i>
    <i r="1">
      <x v="2"/>
    </i>
    <i>
      <x v="7"/>
    </i>
    <i r="1">
      <x v="1"/>
    </i>
    <i>
      <x v="8"/>
    </i>
    <i r="1">
      <x v="2"/>
    </i>
    <i>
      <x v="9"/>
    </i>
    <i r="1">
      <x v="1"/>
    </i>
    <i>
      <x v="10"/>
    </i>
    <i r="1">
      <x/>
    </i>
    <i>
      <x v="11"/>
    </i>
    <i r="1">
      <x/>
    </i>
    <i>
      <x v="12"/>
    </i>
    <i r="1">
      <x/>
    </i>
    <i>
      <x v="13"/>
    </i>
    <i r="1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A0531-ED28-492E-862C-1284E1CE266A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1">
  <location ref="J32:K47" firstHeaderRow="1" firstDataRow="1" firstDataCol="1"/>
  <pivotFields count="12">
    <pivotField axis="axisRow" showAll="0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me de Population en 2011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16730-E185-4D78-AE63-C4C2E79220CF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0">
  <location ref="A3:C18" firstHeaderRow="0" firstDataRow="1" firstDataCol="1"/>
  <pivotFields count="12">
    <pivotField axis="axisRow" showAll="0">
      <items count="15">
        <item x="0"/>
        <item x="1"/>
        <item x="2"/>
        <item x="3"/>
        <item x="4"/>
        <item x="13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Dechets par habitant en 2021" fld="6" baseField="0" baseItem="0"/>
    <dataField name="Somme de Dechets par habitant en 2011" fld="3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4CEB8EF-CC16-407E-9B04-37B77A2A0FBE}" autoFormatId="16" applyNumberFormats="0" applyBorderFormats="0" applyFontFormats="0" applyPatternFormats="0" applyAlignmentFormats="0" applyWidthHeightFormats="0">
  <queryTableRefresh nextId="12">
    <queryTableFields count="11">
      <queryTableField id="1" name="L_REGION" tableColumnId="1"/>
      <queryTableField id="2" name="Tonnage de déchets en 2011" tableColumnId="2"/>
      <queryTableField id="3" name="Population en 2011" tableColumnId="3"/>
      <queryTableField id="4" name="Dechets par habitant en 2011" tableColumnId="4"/>
      <queryTableField id="5" name="Tonnage de déchets en 2021" tableColumnId="5"/>
      <queryTableField id="6" name="Population en 2021" tableColumnId="6"/>
      <queryTableField id="7" name="Dechets par habitant en 2021" tableColumnId="7"/>
      <queryTableField id="8" name="Evolution" tableColumnId="8"/>
      <queryTableField id="9" name="Statut" tableColumnId="9"/>
      <queryTableField id="10" name="Evolution de la population" tableColumnId="10"/>
      <queryTableField id="11" name="Statut d'évolution de la population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L_REGION" xr10:uid="{4ADC9B54-C3AD-4A03-9222-8950989B7096}" sourceName="L_REGION">
  <pivotTables>
    <pivotTable tabId="3" name="Tableau croisé dynamique8"/>
    <pivotTable tabId="3" name="Tableau croisé dynamique5"/>
    <pivotTable tabId="3" name="Tableau croisé dynamique6"/>
    <pivotTable tabId="3" name="Tableau croisé dynamique7"/>
    <pivotTable tabId="3" name="Tableau croisé dynamique9"/>
    <pivotTable tabId="3" name="Tableau croisé dynamique11"/>
    <pivotTable tabId="3" name="Tableau croisé dynamique10"/>
    <pivotTable tabId="3" name="Tableau croisé dynamique12"/>
    <pivotTable tabId="3" name="Tableau croisé dynamique1"/>
    <pivotTable tabId="3" name="Tableau croisé dynamique13"/>
    <pivotTable tabId="3" name="Tableau croisé dynamique2"/>
  </pivotTables>
  <data>
    <tabular pivotCacheId="929826590">
      <items count="14">
        <i x="0" s="1"/>
        <i x="1" s="1"/>
        <i x="2" s="1"/>
        <i x="3" s="1"/>
        <i x="4" s="1"/>
        <i x="13" s="1"/>
        <i x="5" s="1"/>
        <i x="6" s="1"/>
        <i x="7" s="1"/>
        <i x="8" s="1"/>
        <i x="9" s="1"/>
        <i x="10" s="1"/>
        <i x="11" s="1"/>
        <i x="1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_REGION 1" xr10:uid="{6853A7E6-799C-46F8-9C32-7CE6742C351A}" cache="Segment_L_REGION" caption="L_REGION" startItem="6" columnCount="3" style="SlicerStyleDark1" rowHeight="2476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A9306E-ED44-4A42-ABA5-80596410E1A5}" name="Tableau5" displayName="Tableau5" ref="T51:V67" totalsRowShown="0" dataDxfId="112">
  <autoFilter ref="T51:V67" xr:uid="{39A9306E-ED44-4A42-ABA5-80596410E1A5}"/>
  <tableColumns count="3">
    <tableColumn id="1" xr3:uid="{F12674CF-20AC-4FFB-BB04-686B21B07089}" name="Région" dataDxfId="111"/>
    <tableColumn id="2" xr3:uid="{4AC3C54D-0F84-4D92-BB7A-F680F5604FD0}" name="Statu evolution dechet par habitant" dataDxfId="110"/>
    <tableColumn id="3" xr3:uid="{FD1CDF92-2871-4CEC-AD94-41A7A8C650C5}" name="Statut evo pop" dataDxfId="10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DCD44-312F-4E0B-95C4-F4B4A51C7BB4}" name="Statut_de_volume_de_dechet" displayName="Statut_de_volume_de_dechet" ref="A1:K15" tableType="queryTable" totalsRowShown="0">
  <autoFilter ref="A1:K15" xr:uid="{6EBDCD44-312F-4E0B-95C4-F4B4A51C7BB4}"/>
  <tableColumns count="11">
    <tableColumn id="1" xr3:uid="{94BFE4C0-5836-4B76-A010-A622E739DEBE}" uniqueName="1" name="L_REGION" queryTableFieldId="1" dataDxfId="108"/>
    <tableColumn id="2" xr3:uid="{A52484A4-5EC8-4EA7-8F22-293CB427B293}" uniqueName="2" name="Tonnage de déchets en 2011" queryTableFieldId="2"/>
    <tableColumn id="3" xr3:uid="{200921AC-4EFC-4128-9099-E5FBFBE6D2A4}" uniqueName="3" name="Population en 2011" queryTableFieldId="3"/>
    <tableColumn id="4" xr3:uid="{31ADF753-51B9-4421-93D0-2A1F6A7754D2}" uniqueName="4" name="Dechets par habitant en 2011" queryTableFieldId="4"/>
    <tableColumn id="5" xr3:uid="{0339CEB1-57DB-47E2-9E8C-A074A47E6882}" uniqueName="5" name="Tonnage de déchets en 2021" queryTableFieldId="5"/>
    <tableColumn id="6" xr3:uid="{14B7EE3A-DF56-4C3D-B31D-9CAFDA830819}" uniqueName="6" name="Population en 2021" queryTableFieldId="6"/>
    <tableColumn id="7" xr3:uid="{E3BBB90F-5C29-49C0-8BF4-1AE863657E03}" uniqueName="7" name="Dechets par habitant en 2021" queryTableFieldId="7"/>
    <tableColumn id="8" xr3:uid="{6987E746-A3AF-4F64-BE50-780A524F5F91}" uniqueName="8" name="Evolution" queryTableFieldId="8"/>
    <tableColumn id="9" xr3:uid="{A5A2E662-51DE-465F-83CE-923DE8503AE1}" uniqueName="9" name="Statut" queryTableFieldId="9" dataDxfId="107"/>
    <tableColumn id="10" xr3:uid="{96FF450F-936D-4C1B-82B6-C27C22D74547}" uniqueName="10" name="Evolution de la population" queryTableFieldId="10"/>
    <tableColumn id="11" xr3:uid="{8C892789-B8C7-453C-8521-A334A57AFD58}" uniqueName="11" name="Statut d'évolution de la population" queryTableFieldId="11" dataDxfId="10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7EC0-DE83-47F6-B7A9-CD44C4EAA070}">
  <dimension ref="A1:BN49"/>
  <sheetViews>
    <sheetView showGridLines="0" tabSelected="1" zoomScale="70" zoomScaleNormal="70" workbookViewId="0">
      <selection activeCell="AF39" sqref="AF39"/>
    </sheetView>
  </sheetViews>
  <sheetFormatPr baseColWidth="10" defaultColWidth="4.7109375" defaultRowHeight="15" x14ac:dyDescent="0.25"/>
  <sheetData>
    <row r="1" spans="1:63" ht="14.45" customHeight="1" x14ac:dyDescent="0.25">
      <c r="A1" s="28" t="s">
        <v>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J1" s="7"/>
      <c r="AK1" s="7"/>
      <c r="AL1" s="7"/>
      <c r="AM1" s="7"/>
      <c r="AN1" s="7"/>
      <c r="AO1" s="7"/>
      <c r="AP1" s="7"/>
      <c r="AQ1" s="7"/>
    </row>
    <row r="2" spans="1:63" ht="14.45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5"/>
      <c r="O2" s="5"/>
      <c r="P2" s="5"/>
      <c r="Q2" s="5"/>
      <c r="R2" s="26" t="s">
        <v>50</v>
      </c>
      <c r="S2" s="26"/>
      <c r="T2" s="26"/>
      <c r="U2" s="26"/>
      <c r="V2" s="26"/>
      <c r="W2" s="26"/>
      <c r="X2" s="26"/>
      <c r="Y2" s="26"/>
      <c r="Z2" s="26"/>
      <c r="AA2" s="5"/>
      <c r="AB2" s="5"/>
      <c r="AC2" s="5"/>
      <c r="AG2" s="22" t="s">
        <v>51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BB2" s="22" t="s">
        <v>56</v>
      </c>
      <c r="BC2" s="22"/>
      <c r="BD2" s="22"/>
      <c r="BE2" s="22"/>
      <c r="BF2" s="22"/>
      <c r="BG2" s="22"/>
      <c r="BH2" s="22"/>
      <c r="BI2" s="22"/>
      <c r="BJ2" s="22"/>
      <c r="BK2" s="22"/>
    </row>
    <row r="3" spans="1:63" ht="14.4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5"/>
      <c r="O3" s="5"/>
      <c r="P3" s="5"/>
      <c r="Q3" s="5"/>
      <c r="R3" s="26"/>
      <c r="S3" s="26"/>
      <c r="T3" s="26"/>
      <c r="U3" s="26"/>
      <c r="V3" s="26"/>
      <c r="W3" s="26"/>
      <c r="X3" s="26"/>
      <c r="Y3" s="26"/>
      <c r="Z3" s="26"/>
      <c r="AA3" s="5"/>
      <c r="AB3" s="5"/>
      <c r="AC3" s="5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BB3" s="22"/>
      <c r="BC3" s="22"/>
      <c r="BD3" s="22"/>
      <c r="BE3" s="22"/>
      <c r="BF3" s="22"/>
      <c r="BG3" s="22"/>
      <c r="BH3" s="22"/>
      <c r="BI3" s="22"/>
      <c r="BJ3" s="22"/>
      <c r="BK3" s="22"/>
    </row>
    <row r="4" spans="1:63" ht="14.45" customHeigh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5"/>
      <c r="O4" s="5"/>
      <c r="P4" s="5"/>
      <c r="Q4" s="5"/>
      <c r="R4" s="6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63" ht="14.45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8" spans="1:63" x14ac:dyDescent="0.25">
      <c r="B8" s="24" t="s">
        <v>48</v>
      </c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63" ht="15.75" thickBot="1" x14ac:dyDescent="0.3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63" ht="15.75" thickTop="1" x14ac:dyDescent="0.25">
      <c r="B10" s="30">
        <f>GETPIVOTDATA("Somme de Tonnage de déchets en 2021",Traitement!$D$25)</f>
        <v>41210633.559999995</v>
      </c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63" x14ac:dyDescent="0.25"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 spans="1:63" x14ac:dyDescent="0.25">
      <c r="B12" s="33"/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63" x14ac:dyDescent="0.25"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63" x14ac:dyDescent="0.25"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63" x14ac:dyDescent="0.25"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63" ht="15.75" thickBot="1" x14ac:dyDescent="0.3">
      <c r="B16" s="36"/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2:66" ht="15.75" thickTop="1" x14ac:dyDescent="0.25"/>
    <row r="19" spans="2:66" ht="14.45" customHeight="1" x14ac:dyDescent="0.25">
      <c r="B19" s="24" t="s">
        <v>49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2:66" ht="14.45" customHeight="1" thickBot="1" x14ac:dyDescent="0.3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2:66" ht="15.75" thickTop="1" x14ac:dyDescent="0.25">
      <c r="B21" s="39">
        <f>GETPIVOTDATA("Somme de Tonnage de déchets en 2011",Traitement!$D$25)</f>
        <v>38445615.88000001</v>
      </c>
      <c r="C21" s="40"/>
      <c r="D21" s="40"/>
      <c r="E21" s="40"/>
      <c r="F21" s="40"/>
      <c r="G21" s="40"/>
      <c r="H21" s="40"/>
      <c r="I21" s="40"/>
      <c r="J21" s="40"/>
      <c r="K21" s="40"/>
      <c r="L21" s="41"/>
    </row>
    <row r="22" spans="2:66" ht="14.45" customHeight="1" x14ac:dyDescent="0.25">
      <c r="B22" s="42"/>
      <c r="C22" s="43"/>
      <c r="D22" s="43"/>
      <c r="E22" s="43"/>
      <c r="F22" s="43"/>
      <c r="G22" s="43"/>
      <c r="H22" s="43"/>
      <c r="I22" s="43"/>
      <c r="J22" s="43"/>
      <c r="K22" s="43"/>
      <c r="L22" s="44"/>
      <c r="AF22" s="16"/>
      <c r="AG22" s="24" t="s">
        <v>58</v>
      </c>
      <c r="AH22" s="24"/>
      <c r="AI22" s="24"/>
      <c r="AJ22" s="24"/>
      <c r="AK22" s="24"/>
      <c r="AL22" s="24"/>
      <c r="AM22" s="24"/>
      <c r="AN22" s="24"/>
      <c r="AO22" s="24"/>
      <c r="AP22" s="12"/>
      <c r="AQ22" s="24" t="s">
        <v>59</v>
      </c>
      <c r="AR22" s="24"/>
      <c r="AS22" s="24"/>
      <c r="AT22" s="24"/>
      <c r="AU22" s="24"/>
      <c r="AV22" s="24"/>
      <c r="AW22" s="24"/>
      <c r="AX22" s="24"/>
      <c r="AY22" s="24"/>
      <c r="BA22" s="23" t="s">
        <v>57</v>
      </c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</row>
    <row r="23" spans="2:66" ht="14.45" customHeight="1" thickBot="1" x14ac:dyDescent="0.3">
      <c r="B23" s="42"/>
      <c r="C23" s="43"/>
      <c r="D23" s="43"/>
      <c r="E23" s="43"/>
      <c r="F23" s="43"/>
      <c r="G23" s="43"/>
      <c r="H23" s="43"/>
      <c r="I23" s="43"/>
      <c r="J23" s="43"/>
      <c r="K23" s="43"/>
      <c r="L23" s="44"/>
      <c r="AF23" s="17"/>
      <c r="AG23" s="25"/>
      <c r="AH23" s="25"/>
      <c r="AI23" s="25"/>
      <c r="AJ23" s="25"/>
      <c r="AK23" s="25"/>
      <c r="AL23" s="25"/>
      <c r="AM23" s="25"/>
      <c r="AN23" s="25"/>
      <c r="AO23" s="25"/>
      <c r="AP23" s="12"/>
      <c r="AQ23" s="27"/>
      <c r="AR23" s="27"/>
      <c r="AS23" s="27"/>
      <c r="AT23" s="27"/>
      <c r="AU23" s="27"/>
      <c r="AV23" s="27"/>
      <c r="AW23" s="27"/>
      <c r="AX23" s="27"/>
      <c r="AY23" s="27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</row>
    <row r="24" spans="2:66" ht="15" customHeight="1" thickTop="1" x14ac:dyDescent="0.25"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4"/>
      <c r="AF24" s="14"/>
      <c r="AG24" s="48">
        <f>GETPIVOTDATA("Population en 2011",Traitement!$J$32)</f>
        <v>64933400</v>
      </c>
      <c r="AH24" s="49"/>
      <c r="AI24" s="49"/>
      <c r="AJ24" s="49"/>
      <c r="AK24" s="49"/>
      <c r="AL24" s="49"/>
      <c r="AM24" s="49"/>
      <c r="AN24" s="49"/>
      <c r="AO24" s="50"/>
      <c r="AP24" s="14"/>
      <c r="AQ24" s="48">
        <f>GETPIVOTDATA("Population en 2021",Traitement!$N$38)</f>
        <v>67697091</v>
      </c>
      <c r="AR24" s="49"/>
      <c r="AS24" s="49"/>
      <c r="AT24" s="49"/>
      <c r="AU24" s="49"/>
      <c r="AV24" s="49"/>
      <c r="AW24" s="49"/>
      <c r="AX24" s="49"/>
      <c r="AY24" s="50"/>
      <c r="AZ24" s="13"/>
    </row>
    <row r="25" spans="2:66" ht="14.45" customHeight="1" x14ac:dyDescent="0.25"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4"/>
      <c r="AF25" s="14"/>
      <c r="AG25" s="51"/>
      <c r="AH25" s="52"/>
      <c r="AI25" s="52"/>
      <c r="AJ25" s="52"/>
      <c r="AK25" s="52"/>
      <c r="AL25" s="52"/>
      <c r="AM25" s="52"/>
      <c r="AN25" s="52"/>
      <c r="AO25" s="53"/>
      <c r="AP25" s="14"/>
      <c r="AQ25" s="51"/>
      <c r="AR25" s="52"/>
      <c r="AS25" s="52"/>
      <c r="AT25" s="52"/>
      <c r="AU25" s="52"/>
      <c r="AV25" s="52"/>
      <c r="AW25" s="52"/>
      <c r="AX25" s="52"/>
      <c r="AY25" s="53"/>
      <c r="AZ25" s="13"/>
    </row>
    <row r="26" spans="2:66" ht="14.45" customHeight="1" x14ac:dyDescent="0.25"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4"/>
      <c r="AF26" s="14"/>
      <c r="AG26" s="51"/>
      <c r="AH26" s="52"/>
      <c r="AI26" s="52"/>
      <c r="AJ26" s="52"/>
      <c r="AK26" s="52"/>
      <c r="AL26" s="52"/>
      <c r="AM26" s="52"/>
      <c r="AN26" s="52"/>
      <c r="AO26" s="53"/>
      <c r="AP26" s="14"/>
      <c r="AQ26" s="51"/>
      <c r="AR26" s="52"/>
      <c r="AS26" s="52"/>
      <c r="AT26" s="52"/>
      <c r="AU26" s="52"/>
      <c r="AV26" s="52"/>
      <c r="AW26" s="52"/>
      <c r="AX26" s="52"/>
      <c r="AY26" s="53"/>
      <c r="AZ26" s="13"/>
    </row>
    <row r="27" spans="2:66" ht="15" customHeight="1" thickBot="1" x14ac:dyDescent="0.3">
      <c r="B27" s="45"/>
      <c r="C27" s="46"/>
      <c r="D27" s="46"/>
      <c r="E27" s="46"/>
      <c r="F27" s="46"/>
      <c r="G27" s="46"/>
      <c r="H27" s="46"/>
      <c r="I27" s="46"/>
      <c r="J27" s="46"/>
      <c r="K27" s="46"/>
      <c r="L27" s="47"/>
      <c r="AF27" s="14"/>
      <c r="AG27" s="51"/>
      <c r="AH27" s="52"/>
      <c r="AI27" s="52"/>
      <c r="AJ27" s="52"/>
      <c r="AK27" s="52"/>
      <c r="AL27" s="52"/>
      <c r="AM27" s="52"/>
      <c r="AN27" s="52"/>
      <c r="AO27" s="53"/>
      <c r="AP27" s="14"/>
      <c r="AQ27" s="51"/>
      <c r="AR27" s="52"/>
      <c r="AS27" s="52"/>
      <c r="AT27" s="52"/>
      <c r="AU27" s="52"/>
      <c r="AV27" s="52"/>
      <c r="AW27" s="52"/>
      <c r="AX27" s="52"/>
      <c r="AY27" s="53"/>
      <c r="AZ27" s="13"/>
    </row>
    <row r="28" spans="2:66" ht="15" customHeight="1" thickTop="1" x14ac:dyDescent="0.25">
      <c r="AF28" s="14"/>
      <c r="AG28" s="51"/>
      <c r="AH28" s="52"/>
      <c r="AI28" s="52"/>
      <c r="AJ28" s="52"/>
      <c r="AK28" s="52"/>
      <c r="AL28" s="52"/>
      <c r="AM28" s="52"/>
      <c r="AN28" s="52"/>
      <c r="AO28" s="53"/>
      <c r="AP28" s="14"/>
      <c r="AQ28" s="51"/>
      <c r="AR28" s="52"/>
      <c r="AS28" s="52"/>
      <c r="AT28" s="52"/>
      <c r="AU28" s="52"/>
      <c r="AV28" s="52"/>
      <c r="AW28" s="52"/>
      <c r="AX28" s="52"/>
      <c r="AY28" s="53"/>
      <c r="AZ28" s="13"/>
    </row>
    <row r="29" spans="2:66" ht="15" customHeight="1" thickBot="1" x14ac:dyDescent="0.3">
      <c r="AF29" s="14"/>
      <c r="AG29" s="54"/>
      <c r="AH29" s="55"/>
      <c r="AI29" s="55"/>
      <c r="AJ29" s="55"/>
      <c r="AK29" s="55"/>
      <c r="AL29" s="55"/>
      <c r="AM29" s="55"/>
      <c r="AN29" s="55"/>
      <c r="AO29" s="56"/>
      <c r="AP29" s="14"/>
      <c r="AQ29" s="54"/>
      <c r="AR29" s="55"/>
      <c r="AS29" s="55"/>
      <c r="AT29" s="55"/>
      <c r="AU29" s="55"/>
      <c r="AV29" s="55"/>
      <c r="AW29" s="55"/>
      <c r="AX29" s="55"/>
      <c r="AY29" s="56"/>
      <c r="AZ29" s="13"/>
    </row>
    <row r="30" spans="2:66" ht="15" customHeight="1" thickTop="1" x14ac:dyDescent="0.25">
      <c r="F30" s="21" t="s">
        <v>52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</row>
    <row r="31" spans="2:66" ht="14.45" customHeight="1" x14ac:dyDescent="0.25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U31" s="65" t="s">
        <v>9</v>
      </c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K31" s="96" t="s">
        <v>62</v>
      </c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</row>
    <row r="32" spans="2:66" ht="15.75" thickBot="1" x14ac:dyDescent="0.3"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</row>
    <row r="33" spans="21:50" ht="15.75" thickTop="1" x14ac:dyDescent="0.25">
      <c r="U33" s="57">
        <f>GETPIVOTDATA("Evolution de la population",Traitement!$D$53)</f>
        <v>2763691</v>
      </c>
      <c r="V33" s="58"/>
      <c r="W33" s="58"/>
      <c r="X33" s="58"/>
      <c r="Y33" s="58"/>
      <c r="Z33" s="58"/>
      <c r="AA33" s="58"/>
      <c r="AB33" s="58"/>
      <c r="AC33" s="58"/>
      <c r="AD33" s="58"/>
      <c r="AE33" s="59"/>
      <c r="AK33" s="78" t="str">
        <f>IF(COUNTA(Traitement!J56:J83)=28,"Sélectionner une région",Traitement!J57)</f>
        <v>Sélectionner une région</v>
      </c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80"/>
    </row>
    <row r="34" spans="21:50" ht="14.45" customHeight="1" x14ac:dyDescent="0.25">
      <c r="U34" s="60"/>
      <c r="V34" s="52"/>
      <c r="W34" s="52"/>
      <c r="X34" s="52"/>
      <c r="Y34" s="52"/>
      <c r="Z34" s="52"/>
      <c r="AA34" s="52"/>
      <c r="AB34" s="52"/>
      <c r="AC34" s="52"/>
      <c r="AD34" s="52"/>
      <c r="AE34" s="61"/>
      <c r="AF34" s="18"/>
      <c r="AG34" s="18"/>
      <c r="AH34" s="18"/>
      <c r="AI34" s="18"/>
      <c r="AJ34" s="18"/>
      <c r="AK34" s="81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3"/>
    </row>
    <row r="35" spans="21:50" ht="14.45" customHeight="1" x14ac:dyDescent="0.25">
      <c r="U35" s="60"/>
      <c r="V35" s="52"/>
      <c r="W35" s="52"/>
      <c r="X35" s="52"/>
      <c r="Y35" s="52"/>
      <c r="Z35" s="52"/>
      <c r="AA35" s="52"/>
      <c r="AB35" s="52"/>
      <c r="AC35" s="52"/>
      <c r="AD35" s="52"/>
      <c r="AE35" s="61"/>
      <c r="AF35" s="18"/>
      <c r="AG35" s="18"/>
      <c r="AH35" s="18"/>
      <c r="AI35" s="18"/>
      <c r="AJ35" s="18"/>
      <c r="AK35" s="81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3"/>
    </row>
    <row r="36" spans="21:50" ht="14.45" customHeight="1" x14ac:dyDescent="0.25">
      <c r="U36" s="60"/>
      <c r="V36" s="52"/>
      <c r="W36" s="52"/>
      <c r="X36" s="52"/>
      <c r="Y36" s="52"/>
      <c r="Z36" s="52"/>
      <c r="AA36" s="52"/>
      <c r="AB36" s="52"/>
      <c r="AC36" s="52"/>
      <c r="AD36" s="52"/>
      <c r="AE36" s="61"/>
      <c r="AF36" s="18"/>
      <c r="AG36" s="18"/>
      <c r="AH36" s="18"/>
      <c r="AI36" s="18"/>
      <c r="AJ36" s="18"/>
      <c r="AK36" s="81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3"/>
    </row>
    <row r="37" spans="21:50" ht="14.45" customHeight="1" x14ac:dyDescent="0.25">
      <c r="U37" s="60"/>
      <c r="V37" s="52"/>
      <c r="W37" s="52"/>
      <c r="X37" s="52"/>
      <c r="Y37" s="52"/>
      <c r="Z37" s="52"/>
      <c r="AA37" s="52"/>
      <c r="AB37" s="52"/>
      <c r="AC37" s="52"/>
      <c r="AD37" s="52"/>
      <c r="AE37" s="61"/>
      <c r="AF37" s="18"/>
      <c r="AG37" s="18"/>
      <c r="AH37" s="18"/>
      <c r="AI37" s="18"/>
      <c r="AJ37" s="18"/>
      <c r="AK37" s="81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3"/>
    </row>
    <row r="38" spans="21:50" ht="14.45" customHeight="1" thickBot="1" x14ac:dyDescent="0.3">
      <c r="U38" s="60"/>
      <c r="V38" s="52"/>
      <c r="W38" s="52"/>
      <c r="X38" s="52"/>
      <c r="Y38" s="52"/>
      <c r="Z38" s="52"/>
      <c r="AA38" s="52"/>
      <c r="AB38" s="52"/>
      <c r="AC38" s="52"/>
      <c r="AD38" s="52"/>
      <c r="AE38" s="61"/>
      <c r="AF38" s="18"/>
      <c r="AG38" s="18"/>
      <c r="AH38" s="18"/>
      <c r="AI38" s="18"/>
      <c r="AJ38" s="18"/>
      <c r="AK38" s="84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6"/>
    </row>
    <row r="39" spans="21:50" ht="14.45" customHeight="1" thickTop="1" x14ac:dyDescent="0.25">
      <c r="U39" s="62"/>
      <c r="V39" s="63"/>
      <c r="W39" s="63"/>
      <c r="X39" s="63"/>
      <c r="Y39" s="63"/>
      <c r="Z39" s="63"/>
      <c r="AA39" s="63"/>
      <c r="AB39" s="63"/>
      <c r="AC39" s="63"/>
      <c r="AD39" s="63"/>
      <c r="AE39" s="64"/>
      <c r="AF39" s="18"/>
      <c r="AG39" s="18"/>
      <c r="AH39" s="18"/>
      <c r="AI39" s="18"/>
      <c r="AJ39" s="18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</row>
    <row r="40" spans="21:50" x14ac:dyDescent="0.25">
      <c r="AK40" s="95" t="s">
        <v>10</v>
      </c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</row>
    <row r="41" spans="21:50" ht="15.75" thickBot="1" x14ac:dyDescent="0.3">
      <c r="U41" s="65" t="s">
        <v>56</v>
      </c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</row>
    <row r="42" spans="21:50" ht="14.45" customHeight="1" x14ac:dyDescent="0.25"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J42" s="87" t="str">
        <f>IF(COUNTA(Traitement!L60:L70)=11,"Sélectionner une région",Traitement!L60)</f>
        <v>Sélectionner une région</v>
      </c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9"/>
    </row>
    <row r="43" spans="21:50" ht="14.45" customHeight="1" x14ac:dyDescent="0.25">
      <c r="U43" s="68">
        <f>GETPIVOTDATA("Evolution",Traitement!$G$53)</f>
        <v>0.22204344782749968</v>
      </c>
      <c r="V43" s="69"/>
      <c r="W43" s="69"/>
      <c r="X43" s="69"/>
      <c r="Y43" s="69"/>
      <c r="Z43" s="69"/>
      <c r="AA43" s="69"/>
      <c r="AB43" s="69"/>
      <c r="AC43" s="69"/>
      <c r="AD43" s="69"/>
      <c r="AE43" s="70"/>
      <c r="AJ43" s="90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91"/>
    </row>
    <row r="44" spans="21:50" ht="14.45" customHeight="1" x14ac:dyDescent="0.25">
      <c r="U44" s="71"/>
      <c r="V44" s="72"/>
      <c r="W44" s="72"/>
      <c r="X44" s="72"/>
      <c r="Y44" s="72"/>
      <c r="Z44" s="72"/>
      <c r="AA44" s="72"/>
      <c r="AB44" s="72"/>
      <c r="AC44" s="72"/>
      <c r="AD44" s="72"/>
      <c r="AE44" s="73"/>
      <c r="AJ44" s="90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91"/>
    </row>
    <row r="45" spans="21:50" ht="14.45" customHeight="1" x14ac:dyDescent="0.25">
      <c r="U45" s="71"/>
      <c r="V45" s="72"/>
      <c r="W45" s="72"/>
      <c r="X45" s="72"/>
      <c r="Y45" s="72"/>
      <c r="Z45" s="72"/>
      <c r="AA45" s="72"/>
      <c r="AB45" s="72"/>
      <c r="AC45" s="72"/>
      <c r="AD45" s="72"/>
      <c r="AE45" s="73"/>
      <c r="AJ45" s="90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91"/>
    </row>
    <row r="46" spans="21:50" ht="14.45" customHeight="1" x14ac:dyDescent="0.25">
      <c r="U46" s="71"/>
      <c r="V46" s="72"/>
      <c r="W46" s="72"/>
      <c r="X46" s="72"/>
      <c r="Y46" s="72"/>
      <c r="Z46" s="72"/>
      <c r="AA46" s="72"/>
      <c r="AB46" s="72"/>
      <c r="AC46" s="72"/>
      <c r="AD46" s="72"/>
      <c r="AE46" s="73"/>
      <c r="AJ46" s="90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91"/>
    </row>
    <row r="47" spans="21:50" ht="14.45" customHeight="1" x14ac:dyDescent="0.25">
      <c r="U47" s="71"/>
      <c r="V47" s="72"/>
      <c r="W47" s="72"/>
      <c r="X47" s="72"/>
      <c r="Y47" s="72"/>
      <c r="Z47" s="72"/>
      <c r="AA47" s="72"/>
      <c r="AB47" s="72"/>
      <c r="AC47" s="72"/>
      <c r="AD47" s="72"/>
      <c r="AE47" s="73"/>
      <c r="AJ47" s="90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91"/>
    </row>
    <row r="48" spans="21:50" ht="14.45" customHeight="1" thickBot="1" x14ac:dyDescent="0.3">
      <c r="U48" s="71"/>
      <c r="V48" s="72"/>
      <c r="W48" s="72"/>
      <c r="X48" s="72"/>
      <c r="Y48" s="72"/>
      <c r="Z48" s="72"/>
      <c r="AA48" s="72"/>
      <c r="AB48" s="72"/>
      <c r="AC48" s="72"/>
      <c r="AD48" s="72"/>
      <c r="AE48" s="73"/>
      <c r="AJ48" s="92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4"/>
    </row>
    <row r="49" spans="21:49" ht="44.45" customHeight="1" x14ac:dyDescent="0.25">
      <c r="U49" s="74"/>
      <c r="V49" s="75"/>
      <c r="W49" s="75"/>
      <c r="X49" s="75"/>
      <c r="Y49" s="75"/>
      <c r="Z49" s="75"/>
      <c r="AA49" s="75"/>
      <c r="AB49" s="75"/>
      <c r="AC49" s="75"/>
      <c r="AD49" s="75"/>
      <c r="AE49" s="76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</sheetData>
  <mergeCells count="22">
    <mergeCell ref="U33:AE39"/>
    <mergeCell ref="U31:AE32"/>
    <mergeCell ref="AK40:AW41"/>
    <mergeCell ref="U43:AE49"/>
    <mergeCell ref="U41:AE42"/>
    <mergeCell ref="AJ42:AX48"/>
    <mergeCell ref="F30:Q31"/>
    <mergeCell ref="AK31:AW32"/>
    <mergeCell ref="AK33:AW38"/>
    <mergeCell ref="BB2:BK3"/>
    <mergeCell ref="AG2:AT3"/>
    <mergeCell ref="BA22:BN23"/>
    <mergeCell ref="AG22:AO23"/>
    <mergeCell ref="R2:Z3"/>
    <mergeCell ref="AQ22:AY23"/>
    <mergeCell ref="A1:M5"/>
    <mergeCell ref="B10:L16"/>
    <mergeCell ref="B8:L9"/>
    <mergeCell ref="B19:L20"/>
    <mergeCell ref="B21:L27"/>
    <mergeCell ref="AQ24:AY29"/>
    <mergeCell ref="AG24:AO2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CC0E-1221-437A-8DD6-5DF2727A3F57}">
  <dimension ref="A3:V88"/>
  <sheetViews>
    <sheetView topLeftCell="A41" zoomScale="85" zoomScaleNormal="85" workbookViewId="0">
      <selection activeCell="AF34" sqref="AF34"/>
    </sheetView>
  </sheetViews>
  <sheetFormatPr baseColWidth="10" defaultRowHeight="15" x14ac:dyDescent="0.25"/>
  <cols>
    <col min="1" max="1" width="25.28515625" bestFit="1" customWidth="1"/>
    <col min="2" max="3" width="37.5703125" bestFit="1" customWidth="1"/>
    <col min="4" max="4" width="25.28515625" bestFit="1" customWidth="1"/>
    <col min="5" max="5" width="35" bestFit="1" customWidth="1"/>
    <col min="6" max="6" width="36.85546875" bestFit="1" customWidth="1"/>
    <col min="7" max="7" width="25.28515625" bestFit="1" customWidth="1"/>
    <col min="8" max="8" width="19.7109375" bestFit="1" customWidth="1"/>
    <col min="10" max="10" width="28.42578125" bestFit="1" customWidth="1"/>
    <col min="11" max="11" width="28.28515625" bestFit="1" customWidth="1"/>
    <col min="12" max="12" width="41.28515625" bestFit="1" customWidth="1"/>
    <col min="14" max="14" width="21.28515625" bestFit="1" customWidth="1"/>
    <col min="15" max="15" width="9" bestFit="1" customWidth="1"/>
    <col min="20" max="20" width="31.140625" customWidth="1"/>
    <col min="21" max="21" width="21.7109375" customWidth="1"/>
    <col min="22" max="22" width="34.5703125" customWidth="1"/>
  </cols>
  <sheetData>
    <row r="3" spans="1:11" x14ac:dyDescent="0.25">
      <c r="A3" s="2" t="s">
        <v>34</v>
      </c>
      <c r="B3" t="s">
        <v>36</v>
      </c>
      <c r="C3" t="s">
        <v>37</v>
      </c>
    </row>
    <row r="4" spans="1:11" x14ac:dyDescent="0.25">
      <c r="A4" s="3" t="s">
        <v>11</v>
      </c>
      <c r="B4" s="1">
        <v>0.56399043498311208</v>
      </c>
      <c r="C4" s="1">
        <v>0.55791282884977311</v>
      </c>
      <c r="E4" s="3" t="s">
        <v>38</v>
      </c>
      <c r="F4" t="s">
        <v>39</v>
      </c>
      <c r="G4" t="s">
        <v>40</v>
      </c>
      <c r="H4" t="s">
        <v>41</v>
      </c>
      <c r="I4" t="s">
        <v>43</v>
      </c>
      <c r="J4" s="2" t="s">
        <v>34</v>
      </c>
      <c r="K4" t="s">
        <v>42</v>
      </c>
    </row>
    <row r="5" spans="1:11" x14ac:dyDescent="0.25">
      <c r="A5" s="3" t="s">
        <v>14</v>
      </c>
      <c r="B5" s="1">
        <v>0.59650493501521673</v>
      </c>
      <c r="C5" s="1">
        <v>0.5667059031153614</v>
      </c>
      <c r="E5" s="3" t="s">
        <v>11</v>
      </c>
      <c r="F5">
        <v>8.6</v>
      </c>
      <c r="G5">
        <v>4.4000000000000004</v>
      </c>
      <c r="H5">
        <f>VLOOKUP(J5,J$5:K$18,2,FALSE)</f>
        <v>6.0776061333389642E-3</v>
      </c>
      <c r="I5" t="str">
        <f t="shared" ref="I5:I17" si="0">IF(H6=MAX(H$5:H$18),H6,"")</f>
        <v/>
      </c>
      <c r="J5" s="3" t="s">
        <v>11</v>
      </c>
      <c r="K5" s="1">
        <v>6.0776061333389642E-3</v>
      </c>
    </row>
    <row r="6" spans="1:11" x14ac:dyDescent="0.25">
      <c r="A6" s="3" t="s">
        <v>17</v>
      </c>
      <c r="B6" s="1">
        <v>0.72447102089898352</v>
      </c>
      <c r="C6" s="1">
        <v>0.66198332881156419</v>
      </c>
      <c r="E6" s="3" t="s">
        <v>14</v>
      </c>
      <c r="F6">
        <v>9</v>
      </c>
      <c r="G6">
        <v>7</v>
      </c>
      <c r="H6">
        <f t="shared" ref="H6:H18" si="1">VLOOKUP(J6,J$5:K$18,2,FALSE)</f>
        <v>2.9799031899855333E-2</v>
      </c>
      <c r="I6" t="str">
        <f t="shared" si="0"/>
        <v/>
      </c>
      <c r="J6" s="3" t="s">
        <v>14</v>
      </c>
      <c r="K6" s="1">
        <v>2.9799031899855333E-2</v>
      </c>
    </row>
    <row r="7" spans="1:11" x14ac:dyDescent="0.25">
      <c r="A7" s="3" t="s">
        <v>20</v>
      </c>
      <c r="B7" s="1">
        <v>0.62322000945866074</v>
      </c>
      <c r="C7" s="1">
        <v>0.57435297545598363</v>
      </c>
      <c r="E7" s="3" t="s">
        <v>17</v>
      </c>
      <c r="F7">
        <v>0.5</v>
      </c>
      <c r="G7">
        <v>7.8</v>
      </c>
      <c r="H7">
        <f t="shared" si="1"/>
        <v>6.2487692087419333E-2</v>
      </c>
      <c r="I7" t="str">
        <f t="shared" si="0"/>
        <v/>
      </c>
      <c r="J7" s="3" t="s">
        <v>17</v>
      </c>
      <c r="K7" s="1">
        <v>6.2487692087419333E-2</v>
      </c>
    </row>
    <row r="8" spans="1:11" x14ac:dyDescent="0.25">
      <c r="A8" s="3" t="s">
        <v>22</v>
      </c>
      <c r="B8" s="1">
        <v>0.74509607390167354</v>
      </c>
      <c r="C8" s="1">
        <v>0.68619108640766202</v>
      </c>
      <c r="E8" s="3" t="s">
        <v>20</v>
      </c>
      <c r="F8">
        <v>5.4</v>
      </c>
      <c r="G8">
        <v>7</v>
      </c>
      <c r="H8">
        <f t="shared" si="1"/>
        <v>4.8867034002677112E-2</v>
      </c>
      <c r="I8" t="str">
        <f t="shared" si="0"/>
        <v/>
      </c>
      <c r="J8" s="3" t="s">
        <v>20</v>
      </c>
      <c r="K8" s="1">
        <v>4.8867034002677112E-2</v>
      </c>
    </row>
    <row r="9" spans="1:11" x14ac:dyDescent="0.25">
      <c r="A9" s="3" t="s">
        <v>31</v>
      </c>
      <c r="B9" s="1">
        <v>0.43448919602277136</v>
      </c>
      <c r="C9" s="1">
        <v>0.64522807688013673</v>
      </c>
      <c r="E9" s="3" t="s">
        <v>22</v>
      </c>
      <c r="F9">
        <v>13</v>
      </c>
      <c r="G9">
        <v>0</v>
      </c>
      <c r="H9">
        <f t="shared" si="1"/>
        <v>5.8904987494011518E-2</v>
      </c>
      <c r="I9" t="str">
        <f t="shared" si="0"/>
        <v/>
      </c>
      <c r="J9" s="3" t="s">
        <v>22</v>
      </c>
      <c r="K9" s="1">
        <v>5.8904987494011518E-2</v>
      </c>
    </row>
    <row r="10" spans="1:11" x14ac:dyDescent="0.25">
      <c r="A10" s="3" t="s">
        <v>23</v>
      </c>
      <c r="B10" s="1">
        <v>0.55763394876042194</v>
      </c>
      <c r="C10" s="1">
        <v>0.55597710431510172</v>
      </c>
      <c r="E10" s="3" t="s">
        <v>31</v>
      </c>
      <c r="F10">
        <v>13</v>
      </c>
      <c r="G10">
        <v>0</v>
      </c>
      <c r="H10">
        <f t="shared" si="1"/>
        <v>-0.21073888085736536</v>
      </c>
      <c r="I10" t="str">
        <f t="shared" si="0"/>
        <v/>
      </c>
      <c r="J10" s="3" t="s">
        <v>31</v>
      </c>
      <c r="K10" s="1">
        <v>-0.21073888085736536</v>
      </c>
    </row>
    <row r="11" spans="1:11" x14ac:dyDescent="0.25">
      <c r="A11" s="3" t="s">
        <v>24</v>
      </c>
      <c r="B11" s="1">
        <v>0.71251883477902322</v>
      </c>
      <c r="C11" s="1">
        <v>0.63707945410953049</v>
      </c>
      <c r="E11" s="3" t="s">
        <v>23</v>
      </c>
      <c r="F11">
        <v>9.5</v>
      </c>
      <c r="G11">
        <v>8.6999999999999993</v>
      </c>
      <c r="H11">
        <f t="shared" si="1"/>
        <v>1.6568444453202158E-3</v>
      </c>
      <c r="I11">
        <f t="shared" si="0"/>
        <v>7.5439380669492739E-2</v>
      </c>
      <c r="J11" s="3" t="s">
        <v>23</v>
      </c>
      <c r="K11" s="1">
        <v>1.6568444453202158E-3</v>
      </c>
    </row>
    <row r="12" spans="1:11" x14ac:dyDescent="0.25">
      <c r="A12" s="3" t="s">
        <v>25</v>
      </c>
      <c r="B12" s="1">
        <v>0.47586840080508042</v>
      </c>
      <c r="C12" s="1">
        <v>0.48255447739957275</v>
      </c>
      <c r="E12" s="3" t="s">
        <v>24</v>
      </c>
      <c r="F12">
        <v>6</v>
      </c>
      <c r="G12">
        <v>10.7</v>
      </c>
      <c r="H12">
        <f t="shared" si="1"/>
        <v>7.5439380669492739E-2</v>
      </c>
      <c r="I12" t="str">
        <f t="shared" si="0"/>
        <v/>
      </c>
      <c r="J12" s="3" t="s">
        <v>24</v>
      </c>
      <c r="K12" s="1">
        <v>7.5439380669492739E-2</v>
      </c>
    </row>
    <row r="13" spans="1:11" x14ac:dyDescent="0.25">
      <c r="A13" s="3" t="s">
        <v>26</v>
      </c>
      <c r="B13" s="1">
        <v>0.72031973884348577</v>
      </c>
      <c r="C13" s="1">
        <v>0.66637647632317443</v>
      </c>
      <c r="E13" s="3" t="s">
        <v>25</v>
      </c>
      <c r="F13">
        <v>6</v>
      </c>
      <c r="G13">
        <v>9</v>
      </c>
      <c r="H13">
        <f t="shared" si="1"/>
        <v>-6.6860765944923295E-3</v>
      </c>
      <c r="I13" t="str">
        <f t="shared" si="0"/>
        <v/>
      </c>
      <c r="J13" s="3" t="s">
        <v>25</v>
      </c>
      <c r="K13" s="1">
        <v>-6.6860765944923295E-3</v>
      </c>
    </row>
    <row r="14" spans="1:11" x14ac:dyDescent="0.25">
      <c r="A14" s="3" t="s">
        <v>27</v>
      </c>
      <c r="B14" s="1">
        <v>0.66805365712847098</v>
      </c>
      <c r="C14" s="1">
        <v>0.63572125129783463</v>
      </c>
      <c r="E14" s="3" t="s">
        <v>26</v>
      </c>
      <c r="F14">
        <v>3.7</v>
      </c>
      <c r="G14">
        <v>9</v>
      </c>
      <c r="H14">
        <f t="shared" si="1"/>
        <v>5.3943262520311341E-2</v>
      </c>
      <c r="I14" t="str">
        <f t="shared" si="0"/>
        <v/>
      </c>
      <c r="J14" s="3" t="s">
        <v>26</v>
      </c>
      <c r="K14" s="1">
        <v>5.3943262520311341E-2</v>
      </c>
    </row>
    <row r="15" spans="1:11" x14ac:dyDescent="0.25">
      <c r="A15" s="3" t="s">
        <v>28</v>
      </c>
      <c r="B15" s="1">
        <v>0.64156982127390472</v>
      </c>
      <c r="C15" s="1">
        <v>0.61523798117724227</v>
      </c>
      <c r="E15" s="3" t="s">
        <v>27</v>
      </c>
      <c r="F15">
        <v>4</v>
      </c>
      <c r="G15">
        <v>4</v>
      </c>
      <c r="H15">
        <f t="shared" si="1"/>
        <v>3.2332405830636346E-2</v>
      </c>
      <c r="I15" t="str">
        <f t="shared" si="0"/>
        <v/>
      </c>
      <c r="J15" s="3" t="s">
        <v>27</v>
      </c>
      <c r="K15" s="1">
        <v>3.2332405830636346E-2</v>
      </c>
    </row>
    <row r="16" spans="1:11" x14ac:dyDescent="0.25">
      <c r="A16" s="3" t="s">
        <v>29</v>
      </c>
      <c r="B16" s="1">
        <v>0.62149660132241868</v>
      </c>
      <c r="C16" s="1">
        <v>0.5789143550896626</v>
      </c>
      <c r="E16" s="3" t="s">
        <v>28</v>
      </c>
      <c r="F16">
        <v>5.5</v>
      </c>
      <c r="G16">
        <v>2</v>
      </c>
      <c r="H16">
        <f t="shared" si="1"/>
        <v>2.6331840096662451E-2</v>
      </c>
      <c r="I16" t="str">
        <f t="shared" si="0"/>
        <v/>
      </c>
      <c r="J16" s="3" t="s">
        <v>28</v>
      </c>
      <c r="K16" s="1">
        <v>2.6331840096662451E-2</v>
      </c>
    </row>
    <row r="17" spans="1:11" x14ac:dyDescent="0.25">
      <c r="A17" s="3" t="s">
        <v>30</v>
      </c>
      <c r="B17" s="1">
        <v>0.73022391494274386</v>
      </c>
      <c r="C17" s="1">
        <v>0.72917784107586792</v>
      </c>
      <c r="E17" s="3" t="s">
        <v>29</v>
      </c>
      <c r="F17">
        <v>2.6</v>
      </c>
      <c r="G17">
        <v>6.8</v>
      </c>
      <c r="H17">
        <f t="shared" si="1"/>
        <v>4.2582246232756082E-2</v>
      </c>
      <c r="I17" t="str">
        <f t="shared" si="0"/>
        <v/>
      </c>
      <c r="J17" s="3" t="s">
        <v>29</v>
      </c>
      <c r="K17" s="1">
        <v>4.2582246232756082E-2</v>
      </c>
    </row>
    <row r="18" spans="1:11" x14ac:dyDescent="0.25">
      <c r="A18" s="3" t="s">
        <v>35</v>
      </c>
      <c r="B18" s="1">
        <v>8.8154565881359677</v>
      </c>
      <c r="C18" s="1">
        <v>8.593413140308467</v>
      </c>
      <c r="E18" s="3" t="s">
        <v>30</v>
      </c>
      <c r="F18">
        <v>9.6</v>
      </c>
      <c r="G18">
        <v>2</v>
      </c>
      <c r="H18">
        <f t="shared" si="1"/>
        <v>1.0460738668759406E-3</v>
      </c>
      <c r="J18" s="3" t="s">
        <v>30</v>
      </c>
      <c r="K18" s="1">
        <v>1.0460738668759406E-3</v>
      </c>
    </row>
    <row r="19" spans="1:11" x14ac:dyDescent="0.25">
      <c r="J19" s="3" t="s">
        <v>35</v>
      </c>
      <c r="K19" s="1">
        <v>0.22204344782749968</v>
      </c>
    </row>
    <row r="22" spans="1:11" x14ac:dyDescent="0.25">
      <c r="A22" s="2" t="s">
        <v>34</v>
      </c>
      <c r="B22" t="s">
        <v>44</v>
      </c>
      <c r="I22" t="str">
        <f>IF(H6=MIN(H$5:H$18),H6,"")</f>
        <v/>
      </c>
    </row>
    <row r="23" spans="1:11" x14ac:dyDescent="0.25">
      <c r="A23" s="3" t="s">
        <v>11</v>
      </c>
      <c r="B23" s="1">
        <v>480138</v>
      </c>
      <c r="I23" t="str">
        <f t="shared" ref="I23:I52" si="2">IF(H7=MIN(H$5:H$18),H7,"")</f>
        <v/>
      </c>
    </row>
    <row r="24" spans="1:11" x14ac:dyDescent="0.25">
      <c r="A24" s="3" t="s">
        <v>17</v>
      </c>
      <c r="B24" s="1">
        <v>176800</v>
      </c>
      <c r="I24" t="str">
        <f t="shared" si="2"/>
        <v/>
      </c>
    </row>
    <row r="25" spans="1:11" x14ac:dyDescent="0.25">
      <c r="A25" s="3" t="s">
        <v>20</v>
      </c>
      <c r="B25" s="1">
        <v>16468</v>
      </c>
      <c r="D25" s="2" t="s">
        <v>34</v>
      </c>
      <c r="E25" t="s">
        <v>45</v>
      </c>
      <c r="F25" t="s">
        <v>47</v>
      </c>
      <c r="I25" t="str">
        <f t="shared" si="2"/>
        <v/>
      </c>
    </row>
    <row r="26" spans="1:11" x14ac:dyDescent="0.25">
      <c r="A26" s="3" t="s">
        <v>22</v>
      </c>
      <c r="B26" s="1">
        <v>33111</v>
      </c>
      <c r="D26" s="3" t="s">
        <v>11</v>
      </c>
      <c r="E26" s="1">
        <v>4576421.99</v>
      </c>
      <c r="F26" s="1">
        <v>4259230.9500000011</v>
      </c>
    </row>
    <row r="27" spans="1:11" x14ac:dyDescent="0.25">
      <c r="A27" s="3" t="s">
        <v>31</v>
      </c>
      <c r="B27" s="1">
        <v>328822</v>
      </c>
      <c r="D27" s="3" t="s">
        <v>14</v>
      </c>
      <c r="E27" s="1">
        <v>1670329.5399999998</v>
      </c>
      <c r="F27" s="1">
        <v>1595942.4299999997</v>
      </c>
      <c r="I27" t="str">
        <f t="shared" si="2"/>
        <v/>
      </c>
    </row>
    <row r="28" spans="1:11" x14ac:dyDescent="0.25">
      <c r="A28" s="3" t="s">
        <v>23</v>
      </c>
      <c r="B28" s="1">
        <v>22252</v>
      </c>
      <c r="D28" s="3" t="s">
        <v>17</v>
      </c>
      <c r="E28" s="20">
        <v>2459265.42</v>
      </c>
      <c r="F28" s="20">
        <v>2130108.1100000003</v>
      </c>
      <c r="I28" t="str">
        <f t="shared" si="2"/>
        <v/>
      </c>
    </row>
    <row r="29" spans="1:11" x14ac:dyDescent="0.25">
      <c r="A29" s="3" t="s">
        <v>24</v>
      </c>
      <c r="B29" s="1">
        <v>35122</v>
      </c>
      <c r="D29" s="3" t="s">
        <v>20</v>
      </c>
      <c r="E29" s="1">
        <v>1603733.92</v>
      </c>
      <c r="F29" s="1">
        <v>1468525.79</v>
      </c>
      <c r="I29" t="str">
        <f t="shared" si="2"/>
        <v/>
      </c>
    </row>
    <row r="30" spans="1:11" x14ac:dyDescent="0.25">
      <c r="A30" s="3" t="s">
        <v>25</v>
      </c>
      <c r="B30" s="1">
        <v>464428</v>
      </c>
      <c r="D30" s="3" t="s">
        <v>22</v>
      </c>
      <c r="E30" s="1">
        <v>258993.16</v>
      </c>
      <c r="F30" s="1">
        <v>215797.49</v>
      </c>
      <c r="I30" t="str">
        <f t="shared" si="2"/>
        <v/>
      </c>
    </row>
    <row r="31" spans="1:11" x14ac:dyDescent="0.25">
      <c r="A31" s="3" t="s">
        <v>26</v>
      </c>
      <c r="B31" s="1">
        <v>12889</v>
      </c>
      <c r="D31" s="3" t="s">
        <v>31</v>
      </c>
      <c r="E31" s="1">
        <v>952347.31</v>
      </c>
      <c r="F31" s="1">
        <v>1202096.04</v>
      </c>
      <c r="I31" t="str">
        <f t="shared" si="2"/>
        <v/>
      </c>
    </row>
    <row r="32" spans="1:11" x14ac:dyDescent="0.25">
      <c r="A32" s="3" t="s">
        <v>27</v>
      </c>
      <c r="B32" s="1">
        <v>296274</v>
      </c>
      <c r="D32" s="3" t="s">
        <v>23</v>
      </c>
      <c r="E32" s="1">
        <v>3101162.4300000006</v>
      </c>
      <c r="F32" s="1">
        <v>3079576.6399999997</v>
      </c>
      <c r="I32" t="str">
        <f t="shared" si="2"/>
        <v/>
      </c>
      <c r="J32" s="2" t="s">
        <v>34</v>
      </c>
      <c r="K32" t="s">
        <v>46</v>
      </c>
    </row>
    <row r="33" spans="1:20" x14ac:dyDescent="0.25">
      <c r="A33" s="3" t="s">
        <v>28</v>
      </c>
      <c r="B33" s="1">
        <v>448710</v>
      </c>
      <c r="D33" s="3" t="s">
        <v>24</v>
      </c>
      <c r="E33" s="1">
        <v>4271758.47</v>
      </c>
      <c r="F33" s="1">
        <v>3797101.85</v>
      </c>
      <c r="I33" t="str">
        <f t="shared" si="2"/>
        <v/>
      </c>
      <c r="J33" s="3" t="s">
        <v>11</v>
      </c>
      <c r="K33" s="1">
        <v>7634223</v>
      </c>
    </row>
    <row r="34" spans="1:20" x14ac:dyDescent="0.25">
      <c r="A34" s="3" t="s">
        <v>29</v>
      </c>
      <c r="B34" s="1">
        <v>252886</v>
      </c>
      <c r="D34" s="3" t="s">
        <v>25</v>
      </c>
      <c r="E34" s="1">
        <v>5861403.8600000003</v>
      </c>
      <c r="F34" s="1">
        <v>5719646.3200000031</v>
      </c>
      <c r="I34" t="str">
        <f t="shared" si="2"/>
        <v/>
      </c>
      <c r="J34" s="3" t="s">
        <v>14</v>
      </c>
      <c r="K34" s="1">
        <v>2816174</v>
      </c>
    </row>
    <row r="35" spans="1:20" x14ac:dyDescent="0.25">
      <c r="A35" s="3" t="s">
        <v>30</v>
      </c>
      <c r="B35" s="1">
        <v>211771</v>
      </c>
      <c r="D35" s="3" t="s">
        <v>26</v>
      </c>
      <c r="E35" s="1">
        <v>2397199.6</v>
      </c>
      <c r="F35" s="1">
        <v>2209089.33</v>
      </c>
      <c r="I35" t="str">
        <f t="shared" si="2"/>
        <v/>
      </c>
      <c r="J35" s="3" t="s">
        <v>17</v>
      </c>
      <c r="K35" s="1">
        <v>3217767</v>
      </c>
      <c r="T35" s="10"/>
    </row>
    <row r="36" spans="1:20" x14ac:dyDescent="0.25">
      <c r="A36" s="3" t="s">
        <v>35</v>
      </c>
      <c r="B36" s="1">
        <v>2779671</v>
      </c>
      <c r="D36" s="3" t="s">
        <v>27</v>
      </c>
      <c r="E36" s="1">
        <v>4054652.7999999993</v>
      </c>
      <c r="F36" s="1">
        <v>3670068.3700000006</v>
      </c>
      <c r="I36" t="str">
        <f t="shared" si="2"/>
        <v/>
      </c>
      <c r="J36" s="3" t="s">
        <v>20</v>
      </c>
      <c r="K36" s="1">
        <v>2556835</v>
      </c>
      <c r="T36" s="9"/>
    </row>
    <row r="37" spans="1:20" x14ac:dyDescent="0.25">
      <c r="D37" s="3" t="s">
        <v>28</v>
      </c>
      <c r="E37" s="1">
        <v>3863646.3799999985</v>
      </c>
      <c r="F37" s="1">
        <v>3429007.9699999997</v>
      </c>
      <c r="I37" t="str">
        <f t="shared" si="2"/>
        <v/>
      </c>
      <c r="J37" s="3" t="s">
        <v>22</v>
      </c>
      <c r="K37" s="1">
        <v>314486</v>
      </c>
      <c r="T37" s="8"/>
    </row>
    <row r="38" spans="1:20" x14ac:dyDescent="0.25">
      <c r="D38" s="3" t="s">
        <v>29</v>
      </c>
      <c r="E38" s="1">
        <v>2395247.2800000003</v>
      </c>
      <c r="F38" s="1">
        <v>2084736.01</v>
      </c>
      <c r="I38" t="str">
        <f t="shared" si="2"/>
        <v/>
      </c>
      <c r="J38" s="3" t="s">
        <v>31</v>
      </c>
      <c r="K38" s="1">
        <v>1863056</v>
      </c>
      <c r="N38" s="2" t="s">
        <v>34</v>
      </c>
      <c r="O38" t="s">
        <v>60</v>
      </c>
      <c r="T38" s="9"/>
    </row>
    <row r="39" spans="1:20" x14ac:dyDescent="0.25">
      <c r="D39" s="3" t="s">
        <v>30</v>
      </c>
      <c r="E39" s="1">
        <v>3744471.4</v>
      </c>
      <c r="F39" s="1">
        <v>3584688.580000001</v>
      </c>
      <c r="I39" t="str">
        <f t="shared" si="2"/>
        <v/>
      </c>
      <c r="J39" s="3" t="s">
        <v>23</v>
      </c>
      <c r="K39" s="1">
        <v>5539035</v>
      </c>
      <c r="N39" s="3" t="s">
        <v>11</v>
      </c>
      <c r="O39" s="1">
        <v>8114361</v>
      </c>
      <c r="T39" s="8"/>
    </row>
    <row r="40" spans="1:20" x14ac:dyDescent="0.25">
      <c r="D40" s="3" t="s">
        <v>35</v>
      </c>
      <c r="E40" s="1">
        <v>41210633.559999995</v>
      </c>
      <c r="F40" s="1">
        <v>38445615.88000001</v>
      </c>
      <c r="I40" t="str">
        <f t="shared" si="2"/>
        <v/>
      </c>
      <c r="J40" s="3" t="s">
        <v>24</v>
      </c>
      <c r="K40" s="1">
        <v>5960170</v>
      </c>
      <c r="N40" s="3" t="s">
        <v>14</v>
      </c>
      <c r="O40" s="1">
        <v>2800194</v>
      </c>
      <c r="T40" s="9"/>
    </row>
    <row r="41" spans="1:20" x14ac:dyDescent="0.25">
      <c r="I41" t="str">
        <f t="shared" si="2"/>
        <v/>
      </c>
      <c r="J41" s="3" t="s">
        <v>25</v>
      </c>
      <c r="K41" s="1">
        <v>11852851</v>
      </c>
      <c r="N41" s="3" t="s">
        <v>17</v>
      </c>
      <c r="O41" s="1">
        <v>3394567</v>
      </c>
      <c r="T41" s="8"/>
    </row>
    <row r="42" spans="1:20" x14ac:dyDescent="0.25">
      <c r="I42" t="str">
        <f t="shared" si="2"/>
        <v/>
      </c>
      <c r="J42" s="3" t="s">
        <v>26</v>
      </c>
      <c r="K42" s="1">
        <v>3315077</v>
      </c>
      <c r="N42" s="3" t="s">
        <v>20</v>
      </c>
      <c r="O42" s="1">
        <v>2573303</v>
      </c>
      <c r="T42" s="9"/>
    </row>
    <row r="43" spans="1:20" x14ac:dyDescent="0.25">
      <c r="I43" t="str">
        <f t="shared" si="2"/>
        <v/>
      </c>
      <c r="J43" s="3" t="s">
        <v>27</v>
      </c>
      <c r="K43" s="1">
        <v>5773078</v>
      </c>
      <c r="N43" s="3" t="s">
        <v>22</v>
      </c>
      <c r="O43" s="1">
        <v>347597</v>
      </c>
      <c r="T43" s="8"/>
    </row>
    <row r="44" spans="1:20" x14ac:dyDescent="0.25">
      <c r="I44" t="str">
        <f t="shared" si="2"/>
        <v/>
      </c>
      <c r="J44" s="3" t="s">
        <v>28</v>
      </c>
      <c r="K44" s="1">
        <v>5573466</v>
      </c>
      <c r="N44" s="3" t="s">
        <v>31</v>
      </c>
      <c r="O44" s="1">
        <v>2191878</v>
      </c>
      <c r="T44" s="9"/>
    </row>
    <row r="45" spans="1:20" x14ac:dyDescent="0.25">
      <c r="A45" s="2" t="s">
        <v>34</v>
      </c>
      <c r="B45" t="s">
        <v>63</v>
      </c>
      <c r="I45" t="str">
        <f t="shared" si="2"/>
        <v/>
      </c>
      <c r="J45" s="3" t="s">
        <v>29</v>
      </c>
      <c r="K45" s="1">
        <v>3601113</v>
      </c>
      <c r="N45" s="3" t="s">
        <v>23</v>
      </c>
      <c r="O45" s="1">
        <v>5561287</v>
      </c>
      <c r="T45" s="8"/>
    </row>
    <row r="46" spans="1:20" x14ac:dyDescent="0.25">
      <c r="A46" s="3" t="s">
        <v>31</v>
      </c>
      <c r="B46" s="1">
        <v>0</v>
      </c>
      <c r="I46" t="str">
        <f t="shared" si="2"/>
        <v/>
      </c>
      <c r="J46" s="3" t="s">
        <v>30</v>
      </c>
      <c r="K46" s="1">
        <v>4916069</v>
      </c>
      <c r="N46" s="3" t="s">
        <v>24</v>
      </c>
      <c r="O46" s="1">
        <v>5995292</v>
      </c>
      <c r="T46" s="9"/>
    </row>
    <row r="47" spans="1:20" x14ac:dyDescent="0.25">
      <c r="A47" s="3" t="s">
        <v>25</v>
      </c>
      <c r="B47" s="1">
        <v>0</v>
      </c>
      <c r="I47" t="str">
        <f t="shared" si="2"/>
        <v/>
      </c>
      <c r="J47" s="3" t="s">
        <v>35</v>
      </c>
      <c r="K47" s="1">
        <v>64933400</v>
      </c>
      <c r="L47" s="1">
        <v>64933400</v>
      </c>
      <c r="N47" s="3" t="s">
        <v>25</v>
      </c>
      <c r="O47" s="1">
        <v>12317279</v>
      </c>
      <c r="T47" s="8"/>
    </row>
    <row r="48" spans="1:20" x14ac:dyDescent="0.25">
      <c r="A48" s="3" t="s">
        <v>30</v>
      </c>
      <c r="B48" s="1">
        <v>1.0460738668759406E-3</v>
      </c>
      <c r="I48" t="str">
        <f t="shared" si="2"/>
        <v/>
      </c>
      <c r="N48" s="3" t="s">
        <v>26</v>
      </c>
      <c r="O48" s="1">
        <v>3327966</v>
      </c>
      <c r="T48" s="11"/>
    </row>
    <row r="49" spans="1:22" x14ac:dyDescent="0.25">
      <c r="A49" s="3" t="s">
        <v>23</v>
      </c>
      <c r="B49" s="1">
        <v>1.6568444453202158E-3</v>
      </c>
      <c r="I49" t="str">
        <f t="shared" si="2"/>
        <v/>
      </c>
      <c r="N49" s="3" t="s">
        <v>27</v>
      </c>
      <c r="O49" s="1">
        <v>6069352</v>
      </c>
    </row>
    <row r="50" spans="1:22" x14ac:dyDescent="0.25">
      <c r="A50" s="3" t="s">
        <v>11</v>
      </c>
      <c r="B50" s="1">
        <v>6.0776061333389642E-3</v>
      </c>
      <c r="I50" t="str">
        <f t="shared" si="2"/>
        <v/>
      </c>
      <c r="N50" s="3" t="s">
        <v>28</v>
      </c>
      <c r="O50" s="1">
        <v>6022176</v>
      </c>
    </row>
    <row r="51" spans="1:22" x14ac:dyDescent="0.25">
      <c r="A51" s="3" t="s">
        <v>28</v>
      </c>
      <c r="B51" s="1">
        <v>2.6331840096662451E-2</v>
      </c>
      <c r="I51" t="str">
        <f t="shared" si="2"/>
        <v/>
      </c>
      <c r="N51" s="3" t="s">
        <v>29</v>
      </c>
      <c r="O51" s="1">
        <v>3853999</v>
      </c>
      <c r="T51" t="s">
        <v>55</v>
      </c>
      <c r="U51" t="s">
        <v>53</v>
      </c>
      <c r="V51" t="s">
        <v>54</v>
      </c>
    </row>
    <row r="52" spans="1:22" x14ac:dyDescent="0.25">
      <c r="A52" s="3" t="s">
        <v>14</v>
      </c>
      <c r="B52" s="1">
        <v>2.9799031899855333E-2</v>
      </c>
      <c r="I52" t="str">
        <f t="shared" si="2"/>
        <v/>
      </c>
      <c r="N52" s="3" t="s">
        <v>30</v>
      </c>
      <c r="O52" s="1">
        <v>5127840</v>
      </c>
      <c r="U52" s="3"/>
      <c r="V52" s="3"/>
    </row>
    <row r="53" spans="1:22" x14ac:dyDescent="0.25">
      <c r="A53" s="3" t="s">
        <v>27</v>
      </c>
      <c r="B53" s="1">
        <v>3.2332405830636346E-2</v>
      </c>
      <c r="D53" s="2" t="s">
        <v>34</v>
      </c>
      <c r="E53" t="s">
        <v>44</v>
      </c>
      <c r="G53" s="2" t="s">
        <v>34</v>
      </c>
      <c r="H53" t="s">
        <v>42</v>
      </c>
      <c r="N53" s="3" t="s">
        <v>35</v>
      </c>
      <c r="O53" s="1">
        <v>67697091</v>
      </c>
      <c r="P53" s="15">
        <v>67697091</v>
      </c>
      <c r="T53" s="3" t="s">
        <v>11</v>
      </c>
      <c r="U53" s="1" t="s">
        <v>12</v>
      </c>
      <c r="V53" s="1" t="s">
        <v>13</v>
      </c>
    </row>
    <row r="54" spans="1:22" x14ac:dyDescent="0.25">
      <c r="A54" s="3" t="s">
        <v>29</v>
      </c>
      <c r="B54" s="1">
        <v>4.2582246232756082E-2</v>
      </c>
      <c r="D54" s="3" t="s">
        <v>11</v>
      </c>
      <c r="E54" s="1">
        <v>480138</v>
      </c>
      <c r="G54" s="3" t="s">
        <v>11</v>
      </c>
      <c r="H54" s="1">
        <v>6.0776061333389642E-3</v>
      </c>
      <c r="T54" s="3" t="s">
        <v>14</v>
      </c>
      <c r="U54" s="1" t="s">
        <v>15</v>
      </c>
      <c r="V54" s="1" t="s">
        <v>16</v>
      </c>
    </row>
    <row r="55" spans="1:22" x14ac:dyDescent="0.25">
      <c r="A55" s="3" t="s">
        <v>20</v>
      </c>
      <c r="B55" s="1">
        <v>4.8867034002677112E-2</v>
      </c>
      <c r="D55" s="3" t="s">
        <v>14</v>
      </c>
      <c r="E55" s="1">
        <v>-15980</v>
      </c>
      <c r="G55" s="3" t="s">
        <v>14</v>
      </c>
      <c r="H55" s="1">
        <v>2.9799031899855333E-2</v>
      </c>
      <c r="J55" s="2" t="s">
        <v>8</v>
      </c>
      <c r="T55" s="3" t="s">
        <v>17</v>
      </c>
      <c r="U55" s="1" t="s">
        <v>18</v>
      </c>
      <c r="V55" s="1" t="s">
        <v>19</v>
      </c>
    </row>
    <row r="56" spans="1:22" x14ac:dyDescent="0.25">
      <c r="A56" s="3" t="s">
        <v>26</v>
      </c>
      <c r="B56" s="1">
        <v>5.3943262520311341E-2</v>
      </c>
      <c r="D56" s="3" t="s">
        <v>17</v>
      </c>
      <c r="E56" s="1">
        <v>176800</v>
      </c>
      <c r="G56" s="3" t="s">
        <v>17</v>
      </c>
      <c r="H56" s="1">
        <v>6.2487692087419333E-2</v>
      </c>
      <c r="J56" s="3" t="s">
        <v>11</v>
      </c>
      <c r="T56" s="3" t="s">
        <v>20</v>
      </c>
      <c r="U56" s="1" t="s">
        <v>15</v>
      </c>
      <c r="V56" s="1" t="s">
        <v>21</v>
      </c>
    </row>
    <row r="57" spans="1:22" x14ac:dyDescent="0.25">
      <c r="A57" s="3" t="s">
        <v>22</v>
      </c>
      <c r="B57" s="1">
        <v>5.8904987494011518E-2</v>
      </c>
      <c r="D57" s="3" t="s">
        <v>20</v>
      </c>
      <c r="E57" s="1">
        <v>16468</v>
      </c>
      <c r="G57" s="3" t="s">
        <v>20</v>
      </c>
      <c r="H57" s="1">
        <v>4.8867034002677112E-2</v>
      </c>
      <c r="J57" s="19" t="s">
        <v>12</v>
      </c>
      <c r="T57" s="3" t="s">
        <v>22</v>
      </c>
      <c r="U57" s="1" t="s">
        <v>18</v>
      </c>
      <c r="V57" s="1" t="s">
        <v>21</v>
      </c>
    </row>
    <row r="58" spans="1:22" x14ac:dyDescent="0.25">
      <c r="A58" s="3" t="s">
        <v>17</v>
      </c>
      <c r="B58" s="1">
        <v>6.2487692087419333E-2</v>
      </c>
      <c r="D58" s="3" t="s">
        <v>22</v>
      </c>
      <c r="E58" s="1">
        <v>33111</v>
      </c>
      <c r="G58" s="3" t="s">
        <v>22</v>
      </c>
      <c r="H58" s="1">
        <v>5.8904987494011518E-2</v>
      </c>
      <c r="J58" s="3" t="s">
        <v>14</v>
      </c>
      <c r="T58" s="3" t="s">
        <v>31</v>
      </c>
      <c r="U58" s="1" t="s">
        <v>12</v>
      </c>
      <c r="V58" s="1" t="s">
        <v>21</v>
      </c>
    </row>
    <row r="59" spans="1:22" x14ac:dyDescent="0.25">
      <c r="A59" s="3" t="s">
        <v>24</v>
      </c>
      <c r="B59" s="1">
        <v>7.5439380669492739E-2</v>
      </c>
      <c r="D59" s="3" t="s">
        <v>31</v>
      </c>
      <c r="E59" s="1">
        <v>328822</v>
      </c>
      <c r="G59" s="3" t="s">
        <v>31</v>
      </c>
      <c r="H59" s="1">
        <v>-0.21073888085736536</v>
      </c>
      <c r="J59" s="19" t="s">
        <v>15</v>
      </c>
      <c r="L59" s="2" t="s">
        <v>8</v>
      </c>
      <c r="N59" s="2" t="s">
        <v>0</v>
      </c>
      <c r="O59" t="s">
        <v>64</v>
      </c>
      <c r="T59" s="3" t="s">
        <v>23</v>
      </c>
      <c r="U59" s="1" t="s">
        <v>18</v>
      </c>
      <c r="V59" s="1" t="s">
        <v>21</v>
      </c>
    </row>
    <row r="60" spans="1:22" x14ac:dyDescent="0.25">
      <c r="A60" s="3" t="s">
        <v>35</v>
      </c>
      <c r="B60" s="1">
        <v>0.22204344782749968</v>
      </c>
      <c r="D60" s="3" t="s">
        <v>23</v>
      </c>
      <c r="E60" s="1">
        <v>22252</v>
      </c>
      <c r="G60" s="3" t="s">
        <v>23</v>
      </c>
      <c r="H60" s="1">
        <v>1.6568444453202158E-3</v>
      </c>
      <c r="J60" s="3" t="s">
        <v>17</v>
      </c>
      <c r="L60" s="3" t="s">
        <v>16</v>
      </c>
      <c r="T60" s="3" t="s">
        <v>24</v>
      </c>
      <c r="U60" s="1" t="s">
        <v>12</v>
      </c>
      <c r="V60" s="1" t="s">
        <v>13</v>
      </c>
    </row>
    <row r="61" spans="1:22" x14ac:dyDescent="0.25">
      <c r="D61" s="3" t="s">
        <v>24</v>
      </c>
      <c r="E61" s="1">
        <v>35122</v>
      </c>
      <c r="G61" s="3" t="s">
        <v>24</v>
      </c>
      <c r="H61" s="1">
        <v>7.5439380669492739E-2</v>
      </c>
      <c r="J61" s="19" t="s">
        <v>18</v>
      </c>
      <c r="L61" s="19" t="s">
        <v>14</v>
      </c>
      <c r="N61" s="2" t="s">
        <v>8</v>
      </c>
      <c r="T61" s="3" t="s">
        <v>25</v>
      </c>
      <c r="U61" s="1" t="s">
        <v>18</v>
      </c>
      <c r="V61" s="1" t="s">
        <v>21</v>
      </c>
    </row>
    <row r="62" spans="1:22" x14ac:dyDescent="0.25">
      <c r="D62" s="3" t="s">
        <v>25</v>
      </c>
      <c r="E62" s="1">
        <v>464428</v>
      </c>
      <c r="G62" s="3" t="s">
        <v>25</v>
      </c>
      <c r="H62" s="1">
        <v>-6.6860765944923295E-3</v>
      </c>
      <c r="J62" s="3" t="s">
        <v>20</v>
      </c>
      <c r="L62" s="3" t="s">
        <v>13</v>
      </c>
      <c r="N62" s="3" t="s">
        <v>15</v>
      </c>
      <c r="T62" s="3" t="s">
        <v>26</v>
      </c>
      <c r="U62" s="1" t="s">
        <v>15</v>
      </c>
      <c r="V62" s="1" t="s">
        <v>13</v>
      </c>
    </row>
    <row r="63" spans="1:22" x14ac:dyDescent="0.25">
      <c r="D63" s="3" t="s">
        <v>26</v>
      </c>
      <c r="E63" s="1">
        <v>12889</v>
      </c>
      <c r="G63" s="3" t="s">
        <v>26</v>
      </c>
      <c r="H63" s="1">
        <v>5.3943262520311341E-2</v>
      </c>
      <c r="J63" s="19" t="s">
        <v>15</v>
      </c>
      <c r="L63" s="19" t="s">
        <v>11</v>
      </c>
      <c r="N63" s="3" t="s">
        <v>18</v>
      </c>
      <c r="T63" s="3" t="s">
        <v>27</v>
      </c>
      <c r="U63" s="1" t="s">
        <v>15</v>
      </c>
      <c r="V63" s="1" t="s">
        <v>13</v>
      </c>
    </row>
    <row r="64" spans="1:22" x14ac:dyDescent="0.25">
      <c r="D64" s="3" t="s">
        <v>27</v>
      </c>
      <c r="E64" s="1">
        <v>296274</v>
      </c>
      <c r="G64" s="3" t="s">
        <v>27</v>
      </c>
      <c r="H64" s="1">
        <v>3.2332405830636346E-2</v>
      </c>
      <c r="J64" s="3" t="s">
        <v>22</v>
      </c>
      <c r="L64" s="19" t="s">
        <v>31</v>
      </c>
      <c r="N64" s="3" t="s">
        <v>12</v>
      </c>
      <c r="T64" s="3" t="s">
        <v>28</v>
      </c>
      <c r="U64" s="1" t="s">
        <v>15</v>
      </c>
      <c r="V64" s="1" t="s">
        <v>13</v>
      </c>
    </row>
    <row r="65" spans="1:22" x14ac:dyDescent="0.25">
      <c r="D65" s="3" t="s">
        <v>28</v>
      </c>
      <c r="E65" s="1">
        <v>448710</v>
      </c>
      <c r="G65" s="3" t="s">
        <v>28</v>
      </c>
      <c r="H65" s="1">
        <v>2.6331840096662451E-2</v>
      </c>
      <c r="J65" s="19" t="s">
        <v>18</v>
      </c>
      <c r="L65" s="19" t="s">
        <v>25</v>
      </c>
      <c r="N65" s="3" t="s">
        <v>32</v>
      </c>
      <c r="T65" s="3" t="s">
        <v>29</v>
      </c>
      <c r="U65" s="1" t="s">
        <v>12</v>
      </c>
      <c r="V65" s="1" t="s">
        <v>13</v>
      </c>
    </row>
    <row r="66" spans="1:22" x14ac:dyDescent="0.25">
      <c r="D66" s="3" t="s">
        <v>29</v>
      </c>
      <c r="E66" s="1">
        <v>252886</v>
      </c>
      <c r="G66" s="3" t="s">
        <v>29</v>
      </c>
      <c r="H66" s="1">
        <v>4.2582246232756082E-2</v>
      </c>
      <c r="J66" s="3" t="s">
        <v>31</v>
      </c>
      <c r="L66" s="19" t="s">
        <v>27</v>
      </c>
      <c r="N66" s="3" t="s">
        <v>35</v>
      </c>
      <c r="T66" s="3" t="s">
        <v>30</v>
      </c>
      <c r="U66" s="1" t="s">
        <v>32</v>
      </c>
      <c r="V66" s="1" t="s">
        <v>13</v>
      </c>
    </row>
    <row r="67" spans="1:22" x14ac:dyDescent="0.25">
      <c r="D67" s="3" t="s">
        <v>30</v>
      </c>
      <c r="E67" s="1">
        <v>211771</v>
      </c>
      <c r="G67" s="3" t="s">
        <v>30</v>
      </c>
      <c r="H67" s="1">
        <v>1.0460738668759406E-3</v>
      </c>
      <c r="J67" s="19" t="s">
        <v>32</v>
      </c>
      <c r="L67" s="19" t="s">
        <v>28</v>
      </c>
      <c r="U67" s="3"/>
      <c r="V67" s="3"/>
    </row>
    <row r="68" spans="1:22" x14ac:dyDescent="0.25">
      <c r="D68" s="3" t="s">
        <v>35</v>
      </c>
      <c r="E68" s="1">
        <v>2763691</v>
      </c>
      <c r="G68" s="3" t="s">
        <v>35</v>
      </c>
      <c r="H68" s="1">
        <v>0.22204344782749968</v>
      </c>
      <c r="J68" s="3" t="s">
        <v>23</v>
      </c>
      <c r="L68" s="19" t="s">
        <v>29</v>
      </c>
    </row>
    <row r="69" spans="1:22" x14ac:dyDescent="0.25">
      <c r="J69" s="19" t="s">
        <v>12</v>
      </c>
      <c r="L69" s="19" t="s">
        <v>30</v>
      </c>
    </row>
    <row r="70" spans="1:22" x14ac:dyDescent="0.25">
      <c r="J70" s="3" t="s">
        <v>24</v>
      </c>
      <c r="L70" s="3" t="s">
        <v>19</v>
      </c>
    </row>
    <row r="71" spans="1:22" x14ac:dyDescent="0.25">
      <c r="J71" s="19" t="s">
        <v>18</v>
      </c>
      <c r="L71" s="19" t="s">
        <v>17</v>
      </c>
    </row>
    <row r="72" spans="1:22" x14ac:dyDescent="0.25">
      <c r="A72" s="2" t="s">
        <v>34</v>
      </c>
      <c r="B72" t="s">
        <v>44</v>
      </c>
      <c r="J72" s="3" t="s">
        <v>25</v>
      </c>
      <c r="L72" s="3" t="s">
        <v>21</v>
      </c>
    </row>
    <row r="73" spans="1:22" x14ac:dyDescent="0.25">
      <c r="A73" s="3" t="s">
        <v>11</v>
      </c>
      <c r="B73" s="1">
        <v>480138</v>
      </c>
      <c r="J73" s="19" t="s">
        <v>12</v>
      </c>
      <c r="L73" s="19" t="s">
        <v>20</v>
      </c>
    </row>
    <row r="74" spans="1:22" x14ac:dyDescent="0.25">
      <c r="A74" s="3" t="s">
        <v>14</v>
      </c>
      <c r="B74" s="1">
        <v>-15980</v>
      </c>
      <c r="J74" s="3" t="s">
        <v>26</v>
      </c>
      <c r="L74" s="19" t="s">
        <v>22</v>
      </c>
    </row>
    <row r="75" spans="1:22" x14ac:dyDescent="0.25">
      <c r="A75" s="3" t="s">
        <v>17</v>
      </c>
      <c r="B75" s="1">
        <v>176800</v>
      </c>
      <c r="J75" s="19" t="s">
        <v>18</v>
      </c>
      <c r="L75" s="19" t="s">
        <v>23</v>
      </c>
    </row>
    <row r="76" spans="1:22" x14ac:dyDescent="0.25">
      <c r="A76" s="3" t="s">
        <v>20</v>
      </c>
      <c r="B76" s="1">
        <v>16468</v>
      </c>
      <c r="J76" s="3" t="s">
        <v>27</v>
      </c>
      <c r="L76" s="19" t="s">
        <v>24</v>
      </c>
    </row>
    <row r="77" spans="1:22" x14ac:dyDescent="0.25">
      <c r="A77" s="3" t="s">
        <v>22</v>
      </c>
      <c r="B77" s="1">
        <v>33111</v>
      </c>
      <c r="J77" s="19" t="s">
        <v>15</v>
      </c>
      <c r="L77" s="19" t="s">
        <v>26</v>
      </c>
    </row>
    <row r="78" spans="1:22" x14ac:dyDescent="0.25">
      <c r="A78" s="3" t="s">
        <v>31</v>
      </c>
      <c r="B78" s="1">
        <v>328822</v>
      </c>
      <c r="J78" s="3" t="s">
        <v>28</v>
      </c>
      <c r="L78" s="3" t="s">
        <v>35</v>
      </c>
    </row>
    <row r="79" spans="1:22" x14ac:dyDescent="0.25">
      <c r="A79" s="3" t="s">
        <v>23</v>
      </c>
      <c r="B79" s="1">
        <v>22252</v>
      </c>
      <c r="J79" s="19" t="s">
        <v>15</v>
      </c>
      <c r="L79">
        <f>COUNTA(Traitement!AK42:AW48)</f>
        <v>0</v>
      </c>
    </row>
    <row r="80" spans="1:22" x14ac:dyDescent="0.25">
      <c r="A80" s="3" t="s">
        <v>24</v>
      </c>
      <c r="B80" s="1">
        <v>35122</v>
      </c>
      <c r="J80" s="3" t="s">
        <v>29</v>
      </c>
    </row>
    <row r="81" spans="1:11" x14ac:dyDescent="0.25">
      <c r="A81" s="3" t="s">
        <v>25</v>
      </c>
      <c r="B81" s="1">
        <v>464428</v>
      </c>
      <c r="J81" s="19" t="s">
        <v>15</v>
      </c>
    </row>
    <row r="82" spans="1:11" x14ac:dyDescent="0.25">
      <c r="A82" s="3" t="s">
        <v>26</v>
      </c>
      <c r="B82" s="1">
        <v>12889</v>
      </c>
      <c r="J82" s="3" t="s">
        <v>30</v>
      </c>
    </row>
    <row r="83" spans="1:11" x14ac:dyDescent="0.25">
      <c r="A83" s="3" t="s">
        <v>27</v>
      </c>
      <c r="B83" s="1">
        <v>296274</v>
      </c>
      <c r="J83" s="19" t="s">
        <v>12</v>
      </c>
    </row>
    <row r="84" spans="1:11" x14ac:dyDescent="0.25">
      <c r="A84" s="3" t="s">
        <v>28</v>
      </c>
      <c r="B84" s="1">
        <v>448710</v>
      </c>
      <c r="J84" s="3" t="s">
        <v>35</v>
      </c>
    </row>
    <row r="85" spans="1:11" x14ac:dyDescent="0.25">
      <c r="A85" s="3" t="s">
        <v>29</v>
      </c>
      <c r="B85" s="1">
        <v>252886</v>
      </c>
    </row>
    <row r="86" spans="1:11" x14ac:dyDescent="0.25">
      <c r="A86" s="3" t="s">
        <v>30</v>
      </c>
      <c r="B86" s="1">
        <v>211771</v>
      </c>
    </row>
    <row r="87" spans="1:11" x14ac:dyDescent="0.25">
      <c r="A87" s="3" t="s">
        <v>35</v>
      </c>
      <c r="B87" s="1">
        <v>2763691</v>
      </c>
    </row>
    <row r="88" spans="1:11" x14ac:dyDescent="0.25">
      <c r="K88">
        <f>(COUNTA(Traitement!L60:L70))</f>
        <v>11</v>
      </c>
    </row>
  </sheetData>
  <pageMargins left="0.7" right="0.7" top="0.75" bottom="0.75" header="0.3" footer="0.3"/>
  <drawing r:id="rId14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B051-A557-4E22-9182-9F6F3028243C}">
  <dimension ref="A1:K18"/>
  <sheetViews>
    <sheetView workbookViewId="0">
      <selection activeCell="B18" sqref="B18:E18"/>
    </sheetView>
  </sheetViews>
  <sheetFormatPr baseColWidth="10" defaultRowHeight="15" x14ac:dyDescent="0.25"/>
  <cols>
    <col min="1" max="1" width="23.42578125" bestFit="1" customWidth="1"/>
    <col min="2" max="2" width="26.42578125" bestFit="1" customWidth="1"/>
    <col min="3" max="3" width="19" bestFit="1" customWidth="1"/>
    <col min="4" max="4" width="27.42578125" bestFit="1" customWidth="1"/>
    <col min="5" max="5" width="26.42578125" bestFit="1" customWidth="1"/>
    <col min="6" max="6" width="19" bestFit="1" customWidth="1"/>
    <col min="7" max="7" width="27.42578125" bestFit="1" customWidth="1"/>
    <col min="8" max="8" width="12.5703125" bestFit="1" customWidth="1"/>
    <col min="9" max="9" width="19.140625" bestFit="1" customWidth="1"/>
    <col min="10" max="10" width="24.7109375" bestFit="1" customWidth="1"/>
    <col min="11" max="11" width="3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>
        <v>4259230.9500000011</v>
      </c>
      <c r="C2">
        <v>7634223</v>
      </c>
      <c r="D2">
        <v>0.55791282884977311</v>
      </c>
      <c r="E2">
        <v>4576421.99</v>
      </c>
      <c r="F2">
        <v>8114361</v>
      </c>
      <c r="G2">
        <v>0.56399043498311208</v>
      </c>
      <c r="H2">
        <v>6.0776061333389642E-3</v>
      </c>
      <c r="I2" s="1" t="s">
        <v>12</v>
      </c>
      <c r="J2">
        <v>480138</v>
      </c>
      <c r="K2" s="1" t="s">
        <v>13</v>
      </c>
    </row>
    <row r="3" spans="1:11" x14ac:dyDescent="0.25">
      <c r="A3" s="1" t="s">
        <v>14</v>
      </c>
      <c r="B3">
        <v>1595942.4299999997</v>
      </c>
      <c r="C3">
        <v>2816174</v>
      </c>
      <c r="D3">
        <v>0.5667059031153614</v>
      </c>
      <c r="E3">
        <v>1670329.5399999998</v>
      </c>
      <c r="F3">
        <v>2800194</v>
      </c>
      <c r="G3">
        <v>0.59650493501521673</v>
      </c>
      <c r="H3">
        <v>2.9799031899855333E-2</v>
      </c>
      <c r="I3" s="1" t="s">
        <v>15</v>
      </c>
      <c r="J3">
        <v>-15980</v>
      </c>
      <c r="K3" s="1" t="s">
        <v>16</v>
      </c>
    </row>
    <row r="4" spans="1:11" x14ac:dyDescent="0.25">
      <c r="A4" s="1" t="s">
        <v>17</v>
      </c>
      <c r="B4">
        <v>2130108.1100000003</v>
      </c>
      <c r="C4">
        <v>3217767</v>
      </c>
      <c r="D4">
        <v>0.66198332881156419</v>
      </c>
      <c r="E4">
        <v>2459265.42</v>
      </c>
      <c r="F4">
        <v>3394567</v>
      </c>
      <c r="G4">
        <v>0.72447102089898352</v>
      </c>
      <c r="H4">
        <v>6.2487692087419333E-2</v>
      </c>
      <c r="I4" s="1" t="s">
        <v>18</v>
      </c>
      <c r="J4">
        <v>176800</v>
      </c>
      <c r="K4" s="1" t="s">
        <v>19</v>
      </c>
    </row>
    <row r="5" spans="1:11" x14ac:dyDescent="0.25">
      <c r="A5" s="1" t="s">
        <v>20</v>
      </c>
      <c r="B5">
        <v>1468525.79</v>
      </c>
      <c r="C5">
        <v>2556835</v>
      </c>
      <c r="D5">
        <v>0.57435297545598363</v>
      </c>
      <c r="E5">
        <v>1603733.92</v>
      </c>
      <c r="F5">
        <v>2573303</v>
      </c>
      <c r="G5">
        <v>0.62322000945866074</v>
      </c>
      <c r="H5">
        <v>4.8867034002677112E-2</v>
      </c>
      <c r="I5" s="1" t="s">
        <v>15</v>
      </c>
      <c r="J5">
        <v>16468</v>
      </c>
      <c r="K5" s="1" t="s">
        <v>21</v>
      </c>
    </row>
    <row r="6" spans="1:11" x14ac:dyDescent="0.25">
      <c r="A6" s="1" t="s">
        <v>22</v>
      </c>
      <c r="B6">
        <v>215797.49</v>
      </c>
      <c r="C6">
        <v>314486</v>
      </c>
      <c r="D6">
        <v>0.68619108640766202</v>
      </c>
      <c r="E6">
        <v>258993.16</v>
      </c>
      <c r="F6">
        <v>347597</v>
      </c>
      <c r="G6">
        <v>0.74509607390167354</v>
      </c>
      <c r="H6">
        <v>5.8904987494011518E-2</v>
      </c>
      <c r="I6" s="1" t="s">
        <v>18</v>
      </c>
      <c r="J6">
        <v>33111</v>
      </c>
      <c r="K6" s="1" t="s">
        <v>21</v>
      </c>
    </row>
    <row r="7" spans="1:11" x14ac:dyDescent="0.25">
      <c r="A7" s="1" t="s">
        <v>23</v>
      </c>
      <c r="B7">
        <v>3079576.6399999997</v>
      </c>
      <c r="C7">
        <v>5539035</v>
      </c>
      <c r="D7">
        <v>0.55597710431510172</v>
      </c>
      <c r="E7">
        <v>3101162.4300000006</v>
      </c>
      <c r="F7">
        <v>5561287</v>
      </c>
      <c r="G7">
        <v>0.55763394876042194</v>
      </c>
      <c r="H7">
        <v>1.6568444453202158E-3</v>
      </c>
      <c r="I7" s="1" t="s">
        <v>12</v>
      </c>
      <c r="J7">
        <v>22252</v>
      </c>
      <c r="K7" s="1" t="s">
        <v>21</v>
      </c>
    </row>
    <row r="8" spans="1:11" x14ac:dyDescent="0.25">
      <c r="A8" s="1" t="s">
        <v>24</v>
      </c>
      <c r="B8">
        <v>3797101.85</v>
      </c>
      <c r="C8">
        <v>5960170</v>
      </c>
      <c r="D8">
        <v>0.63707945410953049</v>
      </c>
      <c r="E8">
        <v>4271758.47</v>
      </c>
      <c r="F8">
        <v>5995292</v>
      </c>
      <c r="G8">
        <v>0.71251883477902322</v>
      </c>
      <c r="H8">
        <v>7.5439380669492739E-2</v>
      </c>
      <c r="I8" s="1" t="s">
        <v>18</v>
      </c>
      <c r="J8">
        <v>35122</v>
      </c>
      <c r="K8" s="1" t="s">
        <v>21</v>
      </c>
    </row>
    <row r="9" spans="1:11" x14ac:dyDescent="0.25">
      <c r="A9" s="1" t="s">
        <v>25</v>
      </c>
      <c r="B9">
        <v>5719646.3200000031</v>
      </c>
      <c r="C9">
        <v>11852851</v>
      </c>
      <c r="D9">
        <v>0.48255447739957275</v>
      </c>
      <c r="E9">
        <v>5861403.8600000003</v>
      </c>
      <c r="F9">
        <v>12317279</v>
      </c>
      <c r="G9">
        <v>0.47586840080508042</v>
      </c>
      <c r="H9">
        <v>-6.6860765944923295E-3</v>
      </c>
      <c r="I9" s="1" t="s">
        <v>12</v>
      </c>
      <c r="J9">
        <v>464428</v>
      </c>
      <c r="K9" s="1" t="s">
        <v>13</v>
      </c>
    </row>
    <row r="10" spans="1:11" x14ac:dyDescent="0.25">
      <c r="A10" s="1" t="s">
        <v>26</v>
      </c>
      <c r="B10">
        <v>2209089.33</v>
      </c>
      <c r="C10">
        <v>3315077</v>
      </c>
      <c r="D10">
        <v>0.66637647632317443</v>
      </c>
      <c r="E10">
        <v>2397199.6</v>
      </c>
      <c r="F10">
        <v>3327966</v>
      </c>
      <c r="G10">
        <v>0.72031973884348577</v>
      </c>
      <c r="H10">
        <v>5.3943262520311341E-2</v>
      </c>
      <c r="I10" s="1" t="s">
        <v>18</v>
      </c>
      <c r="J10">
        <v>12889</v>
      </c>
      <c r="K10" s="1" t="s">
        <v>21</v>
      </c>
    </row>
    <row r="11" spans="1:11" x14ac:dyDescent="0.25">
      <c r="A11" s="1" t="s">
        <v>27</v>
      </c>
      <c r="B11">
        <v>3670068.3700000006</v>
      </c>
      <c r="C11">
        <v>5773078</v>
      </c>
      <c r="D11">
        <v>0.63572125129783463</v>
      </c>
      <c r="E11">
        <v>4054652.7999999993</v>
      </c>
      <c r="F11">
        <v>6069352</v>
      </c>
      <c r="G11">
        <v>0.66805365712847098</v>
      </c>
      <c r="H11">
        <v>3.2332405830636346E-2</v>
      </c>
      <c r="I11" s="1" t="s">
        <v>15</v>
      </c>
      <c r="J11">
        <v>296274</v>
      </c>
      <c r="K11" s="1" t="s">
        <v>13</v>
      </c>
    </row>
    <row r="12" spans="1:11" x14ac:dyDescent="0.25">
      <c r="A12" s="1" t="s">
        <v>28</v>
      </c>
      <c r="B12">
        <v>3429007.9699999997</v>
      </c>
      <c r="C12">
        <v>5573466</v>
      </c>
      <c r="D12">
        <v>0.61523798117724227</v>
      </c>
      <c r="E12">
        <v>3863646.3799999985</v>
      </c>
      <c r="F12">
        <v>6022176</v>
      </c>
      <c r="G12">
        <v>0.64156982127390472</v>
      </c>
      <c r="H12">
        <v>2.6331840096662451E-2</v>
      </c>
      <c r="I12" s="1" t="s">
        <v>15</v>
      </c>
      <c r="J12">
        <v>448710</v>
      </c>
      <c r="K12" s="1" t="s">
        <v>13</v>
      </c>
    </row>
    <row r="13" spans="1:11" x14ac:dyDescent="0.25">
      <c r="A13" s="1" t="s">
        <v>29</v>
      </c>
      <c r="B13">
        <v>2084736.01</v>
      </c>
      <c r="C13">
        <v>3601113</v>
      </c>
      <c r="D13">
        <v>0.5789143550896626</v>
      </c>
      <c r="E13">
        <v>2395247.2800000003</v>
      </c>
      <c r="F13">
        <v>3853999</v>
      </c>
      <c r="G13">
        <v>0.62149660132241868</v>
      </c>
      <c r="H13">
        <v>4.2582246232756082E-2</v>
      </c>
      <c r="I13" s="1" t="s">
        <v>15</v>
      </c>
      <c r="J13">
        <v>252886</v>
      </c>
      <c r="K13" s="1" t="s">
        <v>13</v>
      </c>
    </row>
    <row r="14" spans="1:11" x14ac:dyDescent="0.25">
      <c r="A14" s="1" t="s">
        <v>30</v>
      </c>
      <c r="B14">
        <v>3584688.580000001</v>
      </c>
      <c r="C14">
        <v>4916069</v>
      </c>
      <c r="D14">
        <v>0.72917784107586792</v>
      </c>
      <c r="E14">
        <v>3744471.4</v>
      </c>
      <c r="F14">
        <v>5127840</v>
      </c>
      <c r="G14">
        <v>0.73022391494274386</v>
      </c>
      <c r="H14">
        <v>1.0460738668759406E-3</v>
      </c>
      <c r="I14" s="1" t="s">
        <v>12</v>
      </c>
      <c r="J14">
        <v>211771</v>
      </c>
      <c r="K14" s="1" t="s">
        <v>13</v>
      </c>
    </row>
    <row r="15" spans="1:11" x14ac:dyDescent="0.25">
      <c r="A15" s="1" t="s">
        <v>31</v>
      </c>
      <c r="B15">
        <v>1202096.04</v>
      </c>
      <c r="C15">
        <v>1863056</v>
      </c>
      <c r="D15">
        <v>0.64522807688013673</v>
      </c>
      <c r="E15">
        <v>952347.31</v>
      </c>
      <c r="F15">
        <v>2191878</v>
      </c>
      <c r="G15">
        <v>0.43448919602277136</v>
      </c>
      <c r="H15">
        <v>-0.21073888085736536</v>
      </c>
      <c r="I15" s="1" t="s">
        <v>32</v>
      </c>
      <c r="J15">
        <v>328822</v>
      </c>
      <c r="K15" s="1" t="s">
        <v>13</v>
      </c>
    </row>
    <row r="18" spans="2:2" x14ac:dyDescent="0.25">
      <c r="B18" t="s">
        <v>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BE1241-93E4-4D50-8BE0-45F32F2849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Traitement</vt:lpstr>
      <vt:lpstr>Statut de volume de dechet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Rooban</dc:creator>
  <cp:lastModifiedBy>Abel ROOBAN</cp:lastModifiedBy>
  <dcterms:created xsi:type="dcterms:W3CDTF">2025-11-29T20:49:13Z</dcterms:created>
  <dcterms:modified xsi:type="dcterms:W3CDTF">2025-12-17T11:52:22Z</dcterms:modified>
</cp:coreProperties>
</file>